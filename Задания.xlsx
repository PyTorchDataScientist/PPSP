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eMaker\Downloads\"/>
    </mc:Choice>
  </mc:AlternateContent>
  <xr:revisionPtr revIDLastSave="0" documentId="8_{FA721636-D588-4868-8006-38728B094719}" xr6:coauthVersionLast="45" xr6:coauthVersionMax="45" xr10:uidLastSave="{00000000-0000-0000-0000-000000000000}"/>
  <bookViews>
    <workbookView xWindow="-120" yWindow="-120" windowWidth="19440" windowHeight="15000" activeTab="1" xr2:uid="{00000000-000D-0000-FFFF-FFFF00000000}"/>
  </bookViews>
  <sheets>
    <sheet name="Задание1" sheetId="1" r:id="rId1"/>
    <sheet name="Задание2" sheetId="2" r:id="rId2"/>
    <sheet name="Задание4" sheetId="3" r:id="rId3"/>
  </sheets>
  <calcPr calcId="181029"/>
</workbook>
</file>

<file path=xl/calcChain.xml><?xml version="1.0" encoding="utf-8"?>
<calcChain xmlns="http://schemas.openxmlformats.org/spreadsheetml/2006/main">
  <c r="G2" i="2" l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1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3" i="2"/>
  <c r="E4" i="2"/>
  <c r="E2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6" i="2"/>
  <c r="G7" i="2"/>
  <c r="G8" i="2"/>
  <c r="G9" i="2"/>
  <c r="G10" i="2"/>
  <c r="G3" i="2"/>
  <c r="G4" i="2"/>
  <c r="G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O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N3" i="1" s="1"/>
  <c r="H2" i="1"/>
  <c r="M3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2" i="1"/>
  <c r="L3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L2" i="1" l="1"/>
  <c r="N2" i="1"/>
  <c r="L4" i="1"/>
  <c r="N4" i="1"/>
  <c r="M2" i="1"/>
  <c r="O2" i="1"/>
  <c r="O4" i="1"/>
  <c r="M4" i="1"/>
</calcChain>
</file>

<file path=xl/sharedStrings.xml><?xml version="1.0" encoding="utf-8"?>
<sst xmlns="http://schemas.openxmlformats.org/spreadsheetml/2006/main" count="26" uniqueCount="15">
  <si>
    <t>X_1</t>
  </si>
  <si>
    <t>X_2</t>
  </si>
  <si>
    <t>X_3</t>
  </si>
  <si>
    <t>Y_1</t>
  </si>
  <si>
    <t>Y_2</t>
  </si>
  <si>
    <t>Y_3</t>
  </si>
  <si>
    <t>Евклид</t>
  </si>
  <si>
    <t>Кв.Евкл.</t>
  </si>
  <si>
    <t>Чебышев</t>
  </si>
  <si>
    <t>Блок</t>
  </si>
  <si>
    <t>MAX</t>
  </si>
  <si>
    <t>MIN</t>
  </si>
  <si>
    <t>AVG</t>
  </si>
  <si>
    <t>Y 3 Label</t>
  </si>
  <si>
    <t>5)КОТОВ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</si>
</sst>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7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Задание1!$G$1</c:f>
              <c:strCache>
                <c:ptCount val="1"/>
                <c:pt idx="0">
                  <c:v>Евклид</c:v>
                </c:pt>
              </c:strCache>
            </c:strRef>
          </c:tx>
          <c:invertIfNegative val="0"/>
          <c:val>
            <c:numRef>
              <c:f>Задание1!$G$2:$G$51</c:f>
              <c:numCache>
                <c:formatCode>General</c:formatCode>
                <c:ptCount val="50"/>
                <c:pt idx="0">
                  <c:v>0.39595716054884206</c:v>
                </c:pt>
                <c:pt idx="1">
                  <c:v>1.1950204809204008</c:v>
                </c:pt>
                <c:pt idx="2">
                  <c:v>0.86465849211273771</c:v>
                </c:pt>
                <c:pt idx="3">
                  <c:v>0.7524563493075801</c:v>
                </c:pt>
                <c:pt idx="4">
                  <c:v>0.71469304935066669</c:v>
                </c:pt>
                <c:pt idx="5">
                  <c:v>0.3588383615322423</c:v>
                </c:pt>
                <c:pt idx="6">
                  <c:v>0.89049593528753879</c:v>
                </c:pt>
                <c:pt idx="7">
                  <c:v>0.68624905278079973</c:v>
                </c:pt>
                <c:pt idx="8">
                  <c:v>0.5797947270940953</c:v>
                </c:pt>
                <c:pt idx="9">
                  <c:v>0.51696741034236582</c:v>
                </c:pt>
                <c:pt idx="10">
                  <c:v>0.58936652214691931</c:v>
                </c:pt>
                <c:pt idx="11">
                  <c:v>0.43967466562647783</c:v>
                </c:pt>
                <c:pt idx="12">
                  <c:v>0.97162505901941387</c:v>
                </c:pt>
                <c:pt idx="13">
                  <c:v>0.48672109619752429</c:v>
                </c:pt>
                <c:pt idx="14">
                  <c:v>0.88330390172837159</c:v>
                </c:pt>
                <c:pt idx="15">
                  <c:v>0.68840283010250392</c:v>
                </c:pt>
                <c:pt idx="16">
                  <c:v>0.80318516067840906</c:v>
                </c:pt>
                <c:pt idx="17">
                  <c:v>0.47028144205293892</c:v>
                </c:pt>
                <c:pt idx="18">
                  <c:v>0.85488624741750163</c:v>
                </c:pt>
                <c:pt idx="19">
                  <c:v>0.70701244717774059</c:v>
                </c:pt>
                <c:pt idx="20">
                  <c:v>0.96607203177781809</c:v>
                </c:pt>
                <c:pt idx="21">
                  <c:v>0.54375923502745527</c:v>
                </c:pt>
                <c:pt idx="22">
                  <c:v>1.2146975496157189</c:v>
                </c:pt>
                <c:pt idx="23">
                  <c:v>0.51875797773735177</c:v>
                </c:pt>
                <c:pt idx="24">
                  <c:v>0.89060450108212941</c:v>
                </c:pt>
                <c:pt idx="25">
                  <c:v>0.88900683182018725</c:v>
                </c:pt>
                <c:pt idx="26">
                  <c:v>0.62756536170908517</c:v>
                </c:pt>
                <c:pt idx="27">
                  <c:v>0.75462066028050223</c:v>
                </c:pt>
                <c:pt idx="28">
                  <c:v>0.9748246212592937</c:v>
                </c:pt>
                <c:pt idx="29">
                  <c:v>1.0335605705539297</c:v>
                </c:pt>
                <c:pt idx="30">
                  <c:v>0.55741251730638552</c:v>
                </c:pt>
                <c:pt idx="31">
                  <c:v>0.51115794620326327</c:v>
                </c:pt>
                <c:pt idx="32">
                  <c:v>0.92975791748758185</c:v>
                </c:pt>
                <c:pt idx="33">
                  <c:v>0.32776000532504357</c:v>
                </c:pt>
                <c:pt idx="34">
                  <c:v>1.0980044564842597</c:v>
                </c:pt>
                <c:pt idx="35">
                  <c:v>0.30947486828007037</c:v>
                </c:pt>
                <c:pt idx="36">
                  <c:v>0.1654761399226102</c:v>
                </c:pt>
                <c:pt idx="37">
                  <c:v>0.63494906209966107</c:v>
                </c:pt>
                <c:pt idx="38">
                  <c:v>0.25420951184128582</c:v>
                </c:pt>
                <c:pt idx="39">
                  <c:v>0.72288062557886457</c:v>
                </c:pt>
                <c:pt idx="40">
                  <c:v>0.91372077747310221</c:v>
                </c:pt>
                <c:pt idx="41">
                  <c:v>1.0106485101367815</c:v>
                </c:pt>
                <c:pt idx="42">
                  <c:v>0.38861798763916539</c:v>
                </c:pt>
                <c:pt idx="43">
                  <c:v>0.64731449601884039</c:v>
                </c:pt>
                <c:pt idx="44">
                  <c:v>0.37997346464761611</c:v>
                </c:pt>
                <c:pt idx="45">
                  <c:v>0.57591941611276309</c:v>
                </c:pt>
                <c:pt idx="46">
                  <c:v>0.65116017444042207</c:v>
                </c:pt>
                <c:pt idx="47">
                  <c:v>0.84734709331211167</c:v>
                </c:pt>
                <c:pt idx="48">
                  <c:v>1.1064063261804538</c:v>
                </c:pt>
                <c:pt idx="49">
                  <c:v>0.48297265375335802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C-4E44-8B03-5A096886D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44608"/>
        <c:axId val="126002304"/>
      </c:barChart>
      <c:catAx>
        <c:axId val="119444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26002304"/>
        <c:crosses val="autoZero"/>
        <c:auto val="1"/>
        <c:lblAlgn val="ctr"/>
        <c:lblOffset val="100"/>
        <c:noMultiLvlLbl val="0"/>
      </c:catAx>
      <c:valAx>
        <c:axId val="126002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444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Задание1!$H$1</c:f>
              <c:strCache>
                <c:ptCount val="1"/>
                <c:pt idx="0">
                  <c:v>Кв.Евкл.</c:v>
                </c:pt>
              </c:strCache>
            </c:strRef>
          </c:tx>
          <c:invertIfNegative val="0"/>
          <c:val>
            <c:numRef>
              <c:f>Задание1!$H$2:$H$51</c:f>
              <c:numCache>
                <c:formatCode>General</c:formatCode>
                <c:ptCount val="50"/>
                <c:pt idx="0">
                  <c:v>0.15678207298990149</c:v>
                </c:pt>
                <c:pt idx="1">
                  <c:v>1.4280739498192259</c:v>
                </c:pt>
                <c:pt idx="2">
                  <c:v>0.74763430798267327</c:v>
                </c:pt>
                <c:pt idx="3">
                  <c:v>0.56619055761329107</c:v>
                </c:pt>
                <c:pt idx="4">
                  <c:v>0.51078615479015455</c:v>
                </c:pt>
                <c:pt idx="5">
                  <c:v>0.12876496970714424</c:v>
                </c:pt>
                <c:pt idx="6">
                  <c:v>0.79298301076362854</c:v>
                </c:pt>
                <c:pt idx="7">
                  <c:v>0.47093776244254482</c:v>
                </c:pt>
                <c:pt idx="8">
                  <c:v>0.33616192556611646</c:v>
                </c:pt>
                <c:pt idx="9">
                  <c:v>0.26725530335609199</c:v>
                </c:pt>
                <c:pt idx="10">
                  <c:v>0.34735289742755515</c:v>
                </c:pt>
                <c:pt idx="11">
                  <c:v>0.19331381159375507</c:v>
                </c:pt>
                <c:pt idx="12">
                  <c:v>0.94405525531447942</c:v>
                </c:pt>
                <c:pt idx="13">
                  <c:v>0.2368974254837197</c:v>
                </c:pt>
                <c:pt idx="14">
                  <c:v>0.78022578280856481</c:v>
                </c:pt>
                <c:pt idx="15">
                  <c:v>0.47389845649313689</c:v>
                </c:pt>
                <c:pt idx="16">
                  <c:v>0.64510640233400185</c:v>
                </c:pt>
                <c:pt idx="17">
                  <c:v>0.22116463473939174</c:v>
                </c:pt>
                <c:pt idx="18">
                  <c:v>0.73083049602357786</c:v>
                </c:pt>
                <c:pt idx="19">
                  <c:v>0.49986660046425746</c:v>
                </c:pt>
                <c:pt idx="20">
                  <c:v>0.93329517058332156</c:v>
                </c:pt>
                <c:pt idx="21">
                  <c:v>0.29567410567764335</c:v>
                </c:pt>
                <c:pt idx="22">
                  <c:v>1.4754901370424318</c:v>
                </c:pt>
                <c:pt idx="23">
                  <c:v>0.26910983946614681</c:v>
                </c:pt>
                <c:pt idx="24">
                  <c:v>0.79317637734774871</c:v>
                </c:pt>
                <c:pt idx="25">
                  <c:v>0.79033314702296675</c:v>
                </c:pt>
                <c:pt idx="26">
                  <c:v>0.39383828321705489</c:v>
                </c:pt>
                <c:pt idx="27">
                  <c:v>0.56945234092218111</c:v>
                </c:pt>
                <c:pt idx="28">
                  <c:v>0.95028304221332538</c:v>
                </c:pt>
                <c:pt idx="29">
                  <c:v>1.0682474530037644</c:v>
                </c:pt>
                <c:pt idx="30">
                  <c:v>0.31070871444984155</c:v>
                </c:pt>
                <c:pt idx="31">
                  <c:v>0.26128244596673816</c:v>
                </c:pt>
                <c:pt idx="32">
                  <c:v>0.86444978513084503</c:v>
                </c:pt>
                <c:pt idx="33">
                  <c:v>0.10742662109067258</c:v>
                </c:pt>
                <c:pt idx="34">
                  <c:v>1.2056137864592946</c:v>
                </c:pt>
                <c:pt idx="35">
                  <c:v>9.57746940969669E-2</c:v>
                </c:pt>
                <c:pt idx="36">
                  <c:v>2.7382352883687271E-2</c:v>
                </c:pt>
                <c:pt idx="37">
                  <c:v>0.40316031146123921</c:v>
                </c:pt>
                <c:pt idx="38">
                  <c:v>6.4622475910584842E-2</c:v>
                </c:pt>
                <c:pt idx="39">
                  <c:v>0.52255639883729066</c:v>
                </c:pt>
                <c:pt idx="40">
                  <c:v>0.83488565918605029</c:v>
                </c:pt>
                <c:pt idx="41">
                  <c:v>1.0214104110416962</c:v>
                </c:pt>
                <c:pt idx="42">
                  <c:v>0.15102394031671451</c:v>
                </c:pt>
                <c:pt idx="43">
                  <c:v>0.4190160567561253</c:v>
                </c:pt>
                <c:pt idx="44">
                  <c:v>0.14437983383631317</c:v>
                </c:pt>
                <c:pt idx="45">
                  <c:v>0.33168317385566598</c:v>
                </c:pt>
                <c:pt idx="46">
                  <c:v>0.42400957277728085</c:v>
                </c:pt>
                <c:pt idx="47">
                  <c:v>0.7179970965444844</c:v>
                </c:pt>
                <c:pt idx="48">
                  <c:v>1.2241349586121286</c:v>
                </c:pt>
                <c:pt idx="49">
                  <c:v>0.23326258427356106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E-4CB8-810F-264726462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602432"/>
        <c:axId val="145603968"/>
      </c:barChart>
      <c:catAx>
        <c:axId val="145602432"/>
        <c:scaling>
          <c:orientation val="minMax"/>
        </c:scaling>
        <c:delete val="0"/>
        <c:axPos val="b"/>
        <c:majorTickMark val="out"/>
        <c:minorTickMark val="none"/>
        <c:tickLblPos val="nextTo"/>
        <c:crossAx val="145603968"/>
        <c:crosses val="autoZero"/>
        <c:auto val="1"/>
        <c:lblAlgn val="ctr"/>
        <c:lblOffset val="100"/>
        <c:noMultiLvlLbl val="0"/>
      </c:catAx>
      <c:valAx>
        <c:axId val="145603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602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Задание1!$I$1</c:f>
              <c:strCache>
                <c:ptCount val="1"/>
                <c:pt idx="0">
                  <c:v>Чебышев</c:v>
                </c:pt>
              </c:strCache>
            </c:strRef>
          </c:tx>
          <c:invertIfNegative val="0"/>
          <c:val>
            <c:numRef>
              <c:f>Задание1!$I$2:$I$51</c:f>
              <c:numCache>
                <c:formatCode>General</c:formatCode>
                <c:ptCount val="50"/>
                <c:pt idx="0">
                  <c:v>0.27783995003438444</c:v>
                </c:pt>
                <c:pt idx="1">
                  <c:v>0.8337249755859375</c:v>
                </c:pt>
                <c:pt idx="2">
                  <c:v>0.45692473416698509</c:v>
                </c:pt>
                <c:pt idx="3">
                  <c:v>0.57287442659882082</c:v>
                </c:pt>
                <c:pt idx="4">
                  <c:v>9.8714478235796488E-2</c:v>
                </c:pt>
                <c:pt idx="5">
                  <c:v>0.21887986493246725</c:v>
                </c:pt>
                <c:pt idx="6">
                  <c:v>0.39575792887646388</c:v>
                </c:pt>
                <c:pt idx="7">
                  <c:v>7.0087621658605492E-2</c:v>
                </c:pt>
                <c:pt idx="8">
                  <c:v>0.43931823863249164</c:v>
                </c:pt>
                <c:pt idx="9">
                  <c:v>0.11189176836142067</c:v>
                </c:pt>
                <c:pt idx="10">
                  <c:v>0.12594358957586227</c:v>
                </c:pt>
                <c:pt idx="11">
                  <c:v>0.15614203330761889</c:v>
                </c:pt>
                <c:pt idx="12">
                  <c:v>0.26692295098691443</c:v>
                </c:pt>
                <c:pt idx="13">
                  <c:v>9.7150258906371967E-2</c:v>
                </c:pt>
                <c:pt idx="14">
                  <c:v>0.3138358748287351</c:v>
                </c:pt>
                <c:pt idx="15">
                  <c:v>0.15400145156573442</c:v>
                </c:pt>
                <c:pt idx="16">
                  <c:v>0.29144624724872892</c:v>
                </c:pt>
                <c:pt idx="17">
                  <c:v>8.3017187291140715E-2</c:v>
                </c:pt>
                <c:pt idx="18">
                  <c:v>0.45419659364285603</c:v>
                </c:pt>
                <c:pt idx="19">
                  <c:v>0.24662224425373935</c:v>
                </c:pt>
                <c:pt idx="20">
                  <c:v>0.55607554982661922</c:v>
                </c:pt>
                <c:pt idx="21">
                  <c:v>0.10424240959006026</c:v>
                </c:pt>
                <c:pt idx="22">
                  <c:v>9.050633573823208E-2</c:v>
                </c:pt>
                <c:pt idx="23">
                  <c:v>9.3982069550420544E-2</c:v>
                </c:pt>
                <c:pt idx="24">
                  <c:v>0.372042754944089</c:v>
                </c:pt>
                <c:pt idx="25">
                  <c:v>3.2994081128029595E-2</c:v>
                </c:pt>
                <c:pt idx="26">
                  <c:v>0.27095956902531215</c:v>
                </c:pt>
                <c:pt idx="27">
                  <c:v>7.9540158044206777E-3</c:v>
                </c:pt>
                <c:pt idx="28">
                  <c:v>0.11804968980387787</c:v>
                </c:pt>
                <c:pt idx="29">
                  <c:v>0.31314442002156384</c:v>
                </c:pt>
                <c:pt idx="30">
                  <c:v>0.14180647465903773</c:v>
                </c:pt>
                <c:pt idx="31">
                  <c:v>0.39056911564249441</c:v>
                </c:pt>
                <c:pt idx="32">
                  <c:v>5.921063795730741E-2</c:v>
                </c:pt>
                <c:pt idx="33">
                  <c:v>5.2861329251341349E-3</c:v>
                </c:pt>
                <c:pt idx="34">
                  <c:v>0.26227096640795367</c:v>
                </c:pt>
                <c:pt idx="35">
                  <c:v>0.12351822677061697</c:v>
                </c:pt>
                <c:pt idx="36">
                  <c:v>0.11178313585558697</c:v>
                </c:pt>
                <c:pt idx="37">
                  <c:v>6.3604081191216189E-2</c:v>
                </c:pt>
                <c:pt idx="38">
                  <c:v>8.7356455122452381E-2</c:v>
                </c:pt>
                <c:pt idx="39">
                  <c:v>0.45863601079990435</c:v>
                </c:pt>
                <c:pt idx="40">
                  <c:v>0.37379059241400814</c:v>
                </c:pt>
                <c:pt idx="41">
                  <c:v>5.4126235181882976E-2</c:v>
                </c:pt>
                <c:pt idx="42">
                  <c:v>0.19368281380983343</c:v>
                </c:pt>
                <c:pt idx="43">
                  <c:v>0.2198056345657966</c:v>
                </c:pt>
                <c:pt idx="44">
                  <c:v>0.13787462294300235</c:v>
                </c:pt>
                <c:pt idx="45">
                  <c:v>0.19789263144671376</c:v>
                </c:pt>
                <c:pt idx="46">
                  <c:v>0.1844076900612821</c:v>
                </c:pt>
                <c:pt idx="47">
                  <c:v>0.22021578426710064</c:v>
                </c:pt>
                <c:pt idx="48">
                  <c:v>0.1281173154342834</c:v>
                </c:pt>
                <c:pt idx="49">
                  <c:v>0.24921199088832768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8-4702-AFFA-D1A3B307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68288"/>
        <c:axId val="145667200"/>
      </c:barChart>
      <c:catAx>
        <c:axId val="14066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45667200"/>
        <c:crosses val="autoZero"/>
        <c:auto val="1"/>
        <c:lblAlgn val="ctr"/>
        <c:lblOffset val="100"/>
        <c:noMultiLvlLbl val="0"/>
      </c:catAx>
      <c:valAx>
        <c:axId val="145667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668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993744531933512"/>
          <c:y val="4.166666666666666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Задание1!$J$1</c:f>
              <c:strCache>
                <c:ptCount val="1"/>
                <c:pt idx="0">
                  <c:v>Блок</c:v>
                </c:pt>
              </c:strCache>
            </c:strRef>
          </c:tx>
          <c:invertIfNegative val="0"/>
          <c:val>
            <c:numRef>
              <c:f>Задание1!$J$2:$J$51</c:f>
              <c:numCache>
                <c:formatCode>General</c:formatCode>
                <c:ptCount val="50"/>
                <c:pt idx="0">
                  <c:v>0.27361903093888329</c:v>
                </c:pt>
                <c:pt idx="1">
                  <c:v>1.6531563278939128</c:v>
                </c:pt>
                <c:pt idx="2">
                  <c:v>1.2526092322236879</c:v>
                </c:pt>
                <c:pt idx="3">
                  <c:v>1.0980927684208039</c:v>
                </c:pt>
                <c:pt idx="4">
                  <c:v>1.0174492784120255</c:v>
                </c:pt>
                <c:pt idx="5">
                  <c:v>0.61873809047260453</c:v>
                </c:pt>
                <c:pt idx="6">
                  <c:v>1.190054906804664</c:v>
                </c:pt>
                <c:pt idx="7">
                  <c:v>0.73189697571696044</c:v>
                </c:pt>
                <c:pt idx="8">
                  <c:v>0.96754265998904598</c:v>
                </c:pt>
                <c:pt idx="9">
                  <c:v>2.7258427961935894E-3</c:v>
                </c:pt>
                <c:pt idx="10">
                  <c:v>0.60678561089489857</c:v>
                </c:pt>
                <c:pt idx="11">
                  <c:v>0.67184297961067463</c:v>
                </c:pt>
                <c:pt idx="12">
                  <c:v>0.5508850188052643</c:v>
                </c:pt>
                <c:pt idx="13">
                  <c:v>0.29441081957958914</c:v>
                </c:pt>
                <c:pt idx="14">
                  <c:v>1.1924178255898554</c:v>
                </c:pt>
                <c:pt idx="15">
                  <c:v>0.33645629188547854</c:v>
                </c:pt>
                <c:pt idx="16">
                  <c:v>0.23070388673083353</c:v>
                </c:pt>
                <c:pt idx="17">
                  <c:v>0.64851754647820714</c:v>
                </c:pt>
                <c:pt idx="18">
                  <c:v>0.94573484646932071</c:v>
                </c:pt>
                <c:pt idx="19">
                  <c:v>8.0772720929906727E-2</c:v>
                </c:pt>
                <c:pt idx="20">
                  <c:v>1.3629012332264709</c:v>
                </c:pt>
                <c:pt idx="21">
                  <c:v>0.77542933543701853</c:v>
                </c:pt>
                <c:pt idx="22">
                  <c:v>0.25625563470933099</c:v>
                </c:pt>
                <c:pt idx="23">
                  <c:v>0.60879275760143226</c:v>
                </c:pt>
                <c:pt idx="24">
                  <c:v>1.1771891070199432</c:v>
                </c:pt>
                <c:pt idx="25">
                  <c:v>0.72484026645290056</c:v>
                </c:pt>
                <c:pt idx="26">
                  <c:v>0.59137806993052666</c:v>
                </c:pt>
                <c:pt idx="27">
                  <c:v>1.0188084228279426</c:v>
                </c:pt>
                <c:pt idx="28">
                  <c:v>0.26917586625414081</c:v>
                </c:pt>
                <c:pt idx="29">
                  <c:v>8.3184587770863017E-2</c:v>
                </c:pt>
                <c:pt idx="30">
                  <c:v>0.88436938697428924</c:v>
                </c:pt>
                <c:pt idx="31">
                  <c:v>0.54471264438264777</c:v>
                </c:pt>
                <c:pt idx="32">
                  <c:v>0.67396779539813401</c:v>
                </c:pt>
                <c:pt idx="33">
                  <c:v>0.29645294238749398</c:v>
                </c:pt>
                <c:pt idx="34">
                  <c:v>2.6814867522320096E-2</c:v>
                </c:pt>
                <c:pt idx="35">
                  <c:v>0.23153874612554626</c:v>
                </c:pt>
                <c:pt idx="36">
                  <c:v>3.5660894442820279E-2</c:v>
                </c:pt>
                <c:pt idx="37">
                  <c:v>3.2407258637690894E-2</c:v>
                </c:pt>
                <c:pt idx="38">
                  <c:v>0.42447172010435708</c:v>
                </c:pt>
                <c:pt idx="39">
                  <c:v>0.58080074382829761</c:v>
                </c:pt>
                <c:pt idx="40">
                  <c:v>0.21474356073156686</c:v>
                </c:pt>
                <c:pt idx="41">
                  <c:v>1.0457000697704708</c:v>
                </c:pt>
                <c:pt idx="42">
                  <c:v>0.15078259831277885</c:v>
                </c:pt>
                <c:pt idx="43">
                  <c:v>0.1137721405681833</c:v>
                </c:pt>
                <c:pt idx="44">
                  <c:v>0.33202687741713333</c:v>
                </c:pt>
                <c:pt idx="45">
                  <c:v>0.16715055884719443</c:v>
                </c:pt>
                <c:pt idx="46">
                  <c:v>0.19643673013412588</c:v>
                </c:pt>
                <c:pt idx="47">
                  <c:v>0.48848016562814611</c:v>
                </c:pt>
                <c:pt idx="48">
                  <c:v>0.49664976226957958</c:v>
                </c:pt>
                <c:pt idx="49">
                  <c:v>0.83352140788944462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E-48FA-9B9E-FF2963879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75424"/>
        <c:axId val="146378112"/>
      </c:barChart>
      <c:catAx>
        <c:axId val="146375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6378112"/>
        <c:crosses val="autoZero"/>
        <c:auto val="1"/>
        <c:lblAlgn val="ctr"/>
        <c:lblOffset val="100"/>
        <c:noMultiLvlLbl val="0"/>
      </c:catAx>
      <c:valAx>
        <c:axId val="14637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375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Задание1!$A$1</c:f>
              <c:strCache>
                <c:ptCount val="1"/>
                <c:pt idx="0">
                  <c:v>X_1</c:v>
                </c:pt>
              </c:strCache>
            </c:strRef>
          </c:tx>
          <c:val>
            <c:numRef>
              <c:f>Задание1!$A$2:$A$51</c:f>
              <c:numCache>
                <c:formatCode>General</c:formatCode>
                <c:ptCount val="50"/>
                <c:pt idx="0">
                  <c:v>0.34048198823721187</c:v>
                </c:pt>
                <c:pt idx="1">
                  <c:v>0.94990516099189204</c:v>
                </c:pt>
                <c:pt idx="2">
                  <c:v>0.28728994727581991</c:v>
                </c:pt>
                <c:pt idx="3">
                  <c:v>0.20050411373672983</c:v>
                </c:pt>
                <c:pt idx="4">
                  <c:v>2.0677444334963102E-2</c:v>
                </c:pt>
                <c:pt idx="5">
                  <c:v>0.24858500854117338</c:v>
                </c:pt>
                <c:pt idx="6">
                  <c:v>0.87949811807007183</c:v>
                </c:pt>
                <c:pt idx="7">
                  <c:v>0.86211709252438951</c:v>
                </c:pt>
                <c:pt idx="8">
                  <c:v>0.61128265447099484</c:v>
                </c:pt>
                <c:pt idx="9">
                  <c:v>0.83744802757286863</c:v>
                </c:pt>
                <c:pt idx="10">
                  <c:v>0.93345818463487706</c:v>
                </c:pt>
                <c:pt idx="11">
                  <c:v>0.67599600380175673</c:v>
                </c:pt>
                <c:pt idx="12">
                  <c:v>0.15082140829205937</c:v>
                </c:pt>
                <c:pt idx="13">
                  <c:v>0.56150642011502683</c:v>
                </c:pt>
                <c:pt idx="14">
                  <c:v>6.6952321102391466E-2</c:v>
                </c:pt>
                <c:pt idx="15">
                  <c:v>0.32412700147041562</c:v>
                </c:pt>
                <c:pt idx="16">
                  <c:v>0.46364425488886329</c:v>
                </c:pt>
                <c:pt idx="17">
                  <c:v>0.78285576290714687</c:v>
                </c:pt>
                <c:pt idx="18">
                  <c:v>0.11379673377615873</c:v>
                </c:pt>
                <c:pt idx="19">
                  <c:v>0.71425822229246183</c:v>
                </c:pt>
                <c:pt idx="20">
                  <c:v>0.85717677691801075</c:v>
                </c:pt>
                <c:pt idx="21">
                  <c:v>0.7593150073421242</c:v>
                </c:pt>
                <c:pt idx="22">
                  <c:v>0.21848527442179622</c:v>
                </c:pt>
                <c:pt idx="23">
                  <c:v>0.65791026864372304</c:v>
                </c:pt>
                <c:pt idx="24">
                  <c:v>0.42431170009372732</c:v>
                </c:pt>
                <c:pt idx="25">
                  <c:v>0.94430707221558396</c:v>
                </c:pt>
                <c:pt idx="26">
                  <c:v>0.63666303760505305</c:v>
                </c:pt>
                <c:pt idx="27">
                  <c:v>0.8364640364950453</c:v>
                </c:pt>
                <c:pt idx="28">
                  <c:v>0.31151267600476595</c:v>
                </c:pt>
                <c:pt idx="29">
                  <c:v>0.18230411871067975</c:v>
                </c:pt>
                <c:pt idx="30">
                  <c:v>0.65511933396100996</c:v>
                </c:pt>
                <c:pt idx="31">
                  <c:v>0.58784329123212853</c:v>
                </c:pt>
                <c:pt idx="32">
                  <c:v>0.39755833177928634</c:v>
                </c:pt>
                <c:pt idx="33">
                  <c:v>0.52195201479104103</c:v>
                </c:pt>
                <c:pt idx="34">
                  <c:v>0.66662239485583052</c:v>
                </c:pt>
                <c:pt idx="35">
                  <c:v>2.241780685464434E-2</c:v>
                </c:pt>
                <c:pt idx="36">
                  <c:v>0.70582467097466095</c:v>
                </c:pt>
                <c:pt idx="37">
                  <c:v>0.46960579814139169</c:v>
                </c:pt>
                <c:pt idx="38">
                  <c:v>0.4018285483345565</c:v>
                </c:pt>
                <c:pt idx="39">
                  <c:v>0.97544136113202851</c:v>
                </c:pt>
                <c:pt idx="40">
                  <c:v>0.56397025263326306</c:v>
                </c:pt>
                <c:pt idx="41">
                  <c:v>9.8984143096670696E-2</c:v>
                </c:pt>
                <c:pt idx="42">
                  <c:v>0.79011859657409311</c:v>
                </c:pt>
                <c:pt idx="43">
                  <c:v>0.72337813186336808</c:v>
                </c:pt>
                <c:pt idx="44">
                  <c:v>0.38029660583897518</c:v>
                </c:pt>
                <c:pt idx="45">
                  <c:v>1.412310973658748E-2</c:v>
                </c:pt>
                <c:pt idx="46">
                  <c:v>0.71766069231432006</c:v>
                </c:pt>
                <c:pt idx="47">
                  <c:v>0.43038793700839229</c:v>
                </c:pt>
                <c:pt idx="48">
                  <c:v>0.84225304474916207</c:v>
                </c:pt>
                <c:pt idx="49">
                  <c:v>0.51803690724877716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F-45B0-95B6-47B28CD51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Задание1!$B$1</c:f>
              <c:strCache>
                <c:ptCount val="1"/>
                <c:pt idx="0">
                  <c:v>X_2</c:v>
                </c:pt>
              </c:strCache>
            </c:strRef>
          </c:tx>
          <c:val>
            <c:numRef>
              <c:f>Задание1!$B$2:$B$51</c:f>
              <c:numCache>
                <c:formatCode>General</c:formatCode>
                <c:ptCount val="50"/>
                <c:pt idx="0">
                  <c:v>0.41273079461996653</c:v>
                </c:pt>
                <c:pt idx="1">
                  <c:v>0.85476743899833574</c:v>
                </c:pt>
                <c:pt idx="2">
                  <c:v>0.51112889060743472</c:v>
                </c:pt>
                <c:pt idx="3">
                  <c:v>0.56893040316958321</c:v>
                </c:pt>
                <c:pt idx="4">
                  <c:v>0.44350384289378297</c:v>
                </c:pt>
                <c:pt idx="5">
                  <c:v>0.13918898221008735</c:v>
                </c:pt>
                <c:pt idx="6">
                  <c:v>0.83213423507868911</c:v>
                </c:pt>
                <c:pt idx="7">
                  <c:v>0.47036656165923763</c:v>
                </c:pt>
                <c:pt idx="8">
                  <c:v>0.6315168266937663</c:v>
                </c:pt>
                <c:pt idx="9">
                  <c:v>0.65425186261765078</c:v>
                </c:pt>
                <c:pt idx="10">
                  <c:v>0.90291674245135511</c:v>
                </c:pt>
                <c:pt idx="11">
                  <c:v>0.51876791779044118</c:v>
                </c:pt>
                <c:pt idx="12">
                  <c:v>0.85732223022997389</c:v>
                </c:pt>
                <c:pt idx="13">
                  <c:v>0.38709255330507197</c:v>
                </c:pt>
                <c:pt idx="14">
                  <c:v>0.30119971403042367</c:v>
                </c:pt>
                <c:pt idx="15">
                  <c:v>0.80618199583977646</c:v>
                </c:pt>
                <c:pt idx="16">
                  <c:v>0.24868740528045752</c:v>
                </c:pt>
                <c:pt idx="17">
                  <c:v>0.18193867036199807</c:v>
                </c:pt>
                <c:pt idx="18">
                  <c:v>0.86465314599309173</c:v>
                </c:pt>
                <c:pt idx="19">
                  <c:v>0.39943803106136144</c:v>
                </c:pt>
                <c:pt idx="20">
                  <c:v>0.85629470253047835</c:v>
                </c:pt>
                <c:pt idx="21">
                  <c:v>0.93495144212950576</c:v>
                </c:pt>
                <c:pt idx="22">
                  <c:v>0.98003246840981184</c:v>
                </c:pt>
                <c:pt idx="23">
                  <c:v>0.13214077790043666</c:v>
                </c:pt>
                <c:pt idx="24">
                  <c:v>0.85828774511790851</c:v>
                </c:pt>
                <c:pt idx="25">
                  <c:v>0.13617076155797325</c:v>
                </c:pt>
                <c:pt idx="26">
                  <c:v>0.89979111137667012</c:v>
                </c:pt>
                <c:pt idx="27">
                  <c:v>0.89036901482667385</c:v>
                </c:pt>
                <c:pt idx="28">
                  <c:v>0.78732092619511951</c:v>
                </c:pt>
                <c:pt idx="29">
                  <c:v>0.65582072022011006</c:v>
                </c:pt>
                <c:pt idx="30">
                  <c:v>0.34711659266742068</c:v>
                </c:pt>
                <c:pt idx="31">
                  <c:v>0.60138011803679192</c:v>
                </c:pt>
                <c:pt idx="32">
                  <c:v>0.79212970668277372</c:v>
                </c:pt>
                <c:pt idx="33">
                  <c:v>0.17772873052922478</c:v>
                </c:pt>
                <c:pt idx="34">
                  <c:v>0.16149753323242599</c:v>
                </c:pt>
                <c:pt idx="35">
                  <c:v>0.16611008937867</c:v>
                </c:pt>
                <c:pt idx="36">
                  <c:v>0.15207516589292336</c:v>
                </c:pt>
                <c:pt idx="37">
                  <c:v>0.9096561707797024</c:v>
                </c:pt>
                <c:pt idx="38">
                  <c:v>0.6967963237435324</c:v>
                </c:pt>
                <c:pt idx="39">
                  <c:v>0.37683466411207589</c:v>
                </c:pt>
                <c:pt idx="40">
                  <c:v>0.54183130672871638</c:v>
                </c:pt>
                <c:pt idx="41">
                  <c:v>0.91366688701881849</c:v>
                </c:pt>
                <c:pt idx="42">
                  <c:v>0.43836056108567156</c:v>
                </c:pt>
                <c:pt idx="43">
                  <c:v>0.62019088278018941</c:v>
                </c:pt>
                <c:pt idx="44">
                  <c:v>0.19950089878435762</c:v>
                </c:pt>
                <c:pt idx="45">
                  <c:v>0.60843768831780842</c:v>
                </c:pt>
                <c:pt idx="46">
                  <c:v>0.95120432246008768</c:v>
                </c:pt>
                <c:pt idx="47">
                  <c:v>0.76661268730715904</c:v>
                </c:pt>
                <c:pt idx="48">
                  <c:v>0.12978945416629717</c:v>
                </c:pt>
                <c:pt idx="49">
                  <c:v>0.62132911444643857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E-41D5-A0CE-6AB71FA50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Задание1!$C$1</c:f>
              <c:strCache>
                <c:ptCount val="1"/>
                <c:pt idx="0">
                  <c:v>X_3</c:v>
                </c:pt>
              </c:strCache>
            </c:strRef>
          </c:tx>
          <c:val>
            <c:numRef>
              <c:f>Задание1!$C$2:$C$51</c:f>
              <c:numCache>
                <c:formatCode>General</c:formatCode>
                <c:ptCount val="50"/>
                <c:pt idx="0">
                  <c:v>0.35297935600508801</c:v>
                </c:pt>
                <c:pt idx="1">
                  <c:v>8.6745981304392261E-2</c:v>
                </c:pt>
                <c:pt idx="2">
                  <c:v>0.16992832797427049</c:v>
                </c:pt>
                <c:pt idx="3">
                  <c:v>0.91461820977587571</c:v>
                </c:pt>
                <c:pt idx="4">
                  <c:v>0.70517283907968853</c:v>
                </c:pt>
                <c:pt idx="5">
                  <c:v>0.19951746128042869</c:v>
                </c:pt>
                <c:pt idx="6">
                  <c:v>0.12182827598766544</c:v>
                </c:pt>
                <c:pt idx="7">
                  <c:v>0.32392452434431984</c:v>
                </c:pt>
                <c:pt idx="8">
                  <c:v>0.91045454130324455</c:v>
                </c:pt>
                <c:pt idx="9">
                  <c:v>0.5100580036816833</c:v>
                </c:pt>
                <c:pt idx="10">
                  <c:v>0.29750583426214927</c:v>
                </c:pt>
                <c:pt idx="11">
                  <c:v>0.88387141024696891</c:v>
                </c:pt>
                <c:pt idx="12">
                  <c:v>0.62018290877867632</c:v>
                </c:pt>
                <c:pt idx="13">
                  <c:v>0.73474502500713434</c:v>
                </c:pt>
                <c:pt idx="14">
                  <c:v>0.54488665274434478</c:v>
                </c:pt>
                <c:pt idx="15">
                  <c:v>0.56833034474564315</c:v>
                </c:pt>
                <c:pt idx="16">
                  <c:v>0.58365340455006542</c:v>
                </c:pt>
                <c:pt idx="17">
                  <c:v>0.90842624180375253</c:v>
                </c:pt>
                <c:pt idx="18">
                  <c:v>0.70294822644240473</c:v>
                </c:pt>
                <c:pt idx="19">
                  <c:v>0.37358147548869458</c:v>
                </c:pt>
                <c:pt idx="20">
                  <c:v>0.13603335257717575</c:v>
                </c:pt>
                <c:pt idx="21">
                  <c:v>0.90657555230786535</c:v>
                </c:pt>
                <c:pt idx="22">
                  <c:v>0.1414866495261462</c:v>
                </c:pt>
                <c:pt idx="23">
                  <c:v>0.55510015109240318</c:v>
                </c:pt>
                <c:pt idx="24">
                  <c:v>0.82149967737747653</c:v>
                </c:pt>
                <c:pt idx="25">
                  <c:v>0.74114219223055522</c:v>
                </c:pt>
                <c:pt idx="26">
                  <c:v>0.54584372467438769</c:v>
                </c:pt>
                <c:pt idx="27">
                  <c:v>0.72354687941390128</c:v>
                </c:pt>
                <c:pt idx="28">
                  <c:v>0.25819616619079344</c:v>
                </c:pt>
                <c:pt idx="29">
                  <c:v>0.61266551396904934</c:v>
                </c:pt>
                <c:pt idx="30">
                  <c:v>0.63718115546220511</c:v>
                </c:pt>
                <c:pt idx="31">
                  <c:v>0.20499916504664295</c:v>
                </c:pt>
                <c:pt idx="32">
                  <c:v>0.54250459746302404</c:v>
                </c:pt>
                <c:pt idx="33">
                  <c:v>0.87623896941724877</c:v>
                </c:pt>
                <c:pt idx="34">
                  <c:v>0.72005706328812402</c:v>
                </c:pt>
                <c:pt idx="35">
                  <c:v>0.26755515051302425</c:v>
                </c:pt>
                <c:pt idx="36">
                  <c:v>0.33635562763028215</c:v>
                </c:pt>
                <c:pt idx="37">
                  <c:v>0.23399151166833132</c:v>
                </c:pt>
                <c:pt idx="38">
                  <c:v>0.1103633740211869</c:v>
                </c:pt>
                <c:pt idx="39">
                  <c:v>0.32343829423880566</c:v>
                </c:pt>
                <c:pt idx="40">
                  <c:v>0.18873905294282833</c:v>
                </c:pt>
                <c:pt idx="41">
                  <c:v>3.3282465184500509E-2</c:v>
                </c:pt>
                <c:pt idx="42">
                  <c:v>0.40494582022245718</c:v>
                </c:pt>
                <c:pt idx="43">
                  <c:v>0.72297909923798453</c:v>
                </c:pt>
                <c:pt idx="44">
                  <c:v>0.61221269637287423</c:v>
                </c:pt>
                <c:pt idx="45">
                  <c:v>0.76309625621782584</c:v>
                </c:pt>
                <c:pt idx="46">
                  <c:v>4.1110389562692973E-2</c:v>
                </c:pt>
                <c:pt idx="47">
                  <c:v>7.9434332004441055E-2</c:v>
                </c:pt>
                <c:pt idx="48">
                  <c:v>0.12661501868246905</c:v>
                </c:pt>
                <c:pt idx="49">
                  <c:v>0.6367141627464532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E-4A5E-ABC6-88F1EB7A9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4</xdr:row>
      <xdr:rowOff>9525</xdr:rowOff>
    </xdr:from>
    <xdr:to>
      <xdr:col>17</xdr:col>
      <xdr:colOff>342900</xdr:colOff>
      <xdr:row>18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18</xdr:row>
      <xdr:rowOff>85725</xdr:rowOff>
    </xdr:from>
    <xdr:to>
      <xdr:col>17</xdr:col>
      <xdr:colOff>342900</xdr:colOff>
      <xdr:row>32</xdr:row>
      <xdr:rowOff>161925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33</xdr:row>
      <xdr:rowOff>28575</xdr:rowOff>
    </xdr:from>
    <xdr:to>
      <xdr:col>17</xdr:col>
      <xdr:colOff>361950</xdr:colOff>
      <xdr:row>47</xdr:row>
      <xdr:rowOff>104775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</xdr:colOff>
      <xdr:row>47</xdr:row>
      <xdr:rowOff>114300</xdr:rowOff>
    </xdr:from>
    <xdr:to>
      <xdr:col>17</xdr:col>
      <xdr:colOff>361950</xdr:colOff>
      <xdr:row>62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352425</xdr:colOff>
      <xdr:row>4</xdr:row>
      <xdr:rowOff>38100</xdr:rowOff>
    </xdr:from>
    <xdr:to>
      <xdr:col>25</xdr:col>
      <xdr:colOff>47625</xdr:colOff>
      <xdr:row>18</xdr:row>
      <xdr:rowOff>114300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352425</xdr:colOff>
      <xdr:row>18</xdr:row>
      <xdr:rowOff>133350</xdr:rowOff>
    </xdr:from>
    <xdr:to>
      <xdr:col>25</xdr:col>
      <xdr:colOff>47625</xdr:colOff>
      <xdr:row>33</xdr:row>
      <xdr:rowOff>19050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390525</xdr:colOff>
      <xdr:row>33</xdr:row>
      <xdr:rowOff>19050</xdr:rowOff>
    </xdr:from>
    <xdr:to>
      <xdr:col>25</xdr:col>
      <xdr:colOff>85725</xdr:colOff>
      <xdr:row>47</xdr:row>
      <xdr:rowOff>95250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zoomScale="55" zoomScaleNormal="55" workbookViewId="0">
      <selection activeCell="J2" sqref="J2"/>
    </sheetView>
  </sheetViews>
  <sheetFormatPr defaultRowHeight="15" x14ac:dyDescent="0.25"/>
  <cols>
    <col min="7" max="7" width="13.28515625" customWidth="1"/>
    <col min="8" max="8" width="11.42578125" customWidth="1"/>
  </cols>
  <sheetData>
    <row r="1" spans="1:1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6</v>
      </c>
      <c r="M1" s="2" t="s">
        <v>7</v>
      </c>
      <c r="N1" s="2" t="s">
        <v>8</v>
      </c>
      <c r="O1" s="2" t="s">
        <v>9</v>
      </c>
    </row>
    <row r="2" spans="1:15" x14ac:dyDescent="0.25">
      <c r="A2">
        <v>0.34048198823721187</v>
      </c>
      <c r="B2">
        <v>0.41273079461996653</v>
      </c>
      <c r="C2">
        <v>0.35297935600508801</v>
      </c>
      <c r="D2">
        <v>0.69057074465435098</v>
      </c>
      <c r="E2">
        <v>0.24940371357201929</v>
      </c>
      <c r="F2">
        <v>0.43983671157477944</v>
      </c>
      <c r="G2">
        <f>SQRT(SUMXMY2(A2:C2,D2:F2))</f>
        <v>0.39595716054884206</v>
      </c>
      <c r="H2">
        <f>(SUMXMY2(A2:C2,D2:F2))</f>
        <v>0.15678207298990149</v>
      </c>
      <c r="I2">
        <f>(ABS(MAX(A2:C2)-MAX(D2:F2)))</f>
        <v>0.27783995003438444</v>
      </c>
      <c r="J2">
        <f>(ABS(SUM(A2:C2)-SUM(D2:F2)))</f>
        <v>0.27361903093888329</v>
      </c>
      <c r="K2" t="s">
        <v>10</v>
      </c>
      <c r="L2">
        <f>MAX(G2:G51)</f>
        <v>1.2146975496157189</v>
      </c>
      <c r="M2">
        <f>MAX(H2:H51)</f>
        <v>1.4754901370424318</v>
      </c>
      <c r="N2">
        <f>MAX(I2:I51)</f>
        <v>0.8337249755859375</v>
      </c>
      <c r="O2">
        <f>MAX(J2:J51)</f>
        <v>1.6531563278939128</v>
      </c>
    </row>
    <row r="3" spans="1:15" x14ac:dyDescent="0.25">
      <c r="A3">
        <v>0.94990516099189204</v>
      </c>
      <c r="B3">
        <v>0.85476743899833574</v>
      </c>
      <c r="C3">
        <v>8.6745981304392261E-2</v>
      </c>
      <c r="D3">
        <v>3.2281236327420082E-2</v>
      </c>
      <c r="E3">
        <v>8.9800831667332659E-2</v>
      </c>
      <c r="F3">
        <v>0.11618018540595454</v>
      </c>
      <c r="G3">
        <f t="shared" ref="G3:G51" si="0">SQRT(SUMXMY2(A3:C3,D3:F3))</f>
        <v>1.1950204809204008</v>
      </c>
      <c r="H3">
        <f t="shared" ref="H3:H51" si="1">(SUMXMY2(A3:C3,D3:F3))</f>
        <v>1.4280739498192259</v>
      </c>
      <c r="I3">
        <f t="shared" ref="I3:I51" si="2">(ABS(MAX(A3:C3)-MAX(D3:F3)))</f>
        <v>0.8337249755859375</v>
      </c>
      <c r="J3">
        <f t="shared" ref="J3:J51" si="3">(ABS(SUM(A3:C3)-SUM(D3:F3)))</f>
        <v>1.6531563278939128</v>
      </c>
      <c r="K3" t="s">
        <v>11</v>
      </c>
      <c r="L3">
        <f>MIN(G2:G51)</f>
        <v>0.1654761399226102</v>
      </c>
      <c r="M3">
        <f t="shared" ref="M3:O3" si="4">MIN(H2:H51)</f>
        <v>2.7382352883687271E-2</v>
      </c>
      <c r="N3">
        <f t="shared" si="4"/>
        <v>5.2861329251341349E-3</v>
      </c>
      <c r="O3">
        <f t="shared" si="4"/>
        <v>2.7258427961935894E-3</v>
      </c>
    </row>
    <row r="4" spans="1:15" x14ac:dyDescent="0.25">
      <c r="A4">
        <v>0.28728994727581991</v>
      </c>
      <c r="B4">
        <v>0.51112889060743472</v>
      </c>
      <c r="C4">
        <v>0.16992832797427049</v>
      </c>
      <c r="D4">
        <v>0.96805362477441981</v>
      </c>
      <c r="E4">
        <v>0.55139799493430663</v>
      </c>
      <c r="F4">
        <v>0.70150477837248659</v>
      </c>
      <c r="G4">
        <f t="shared" si="0"/>
        <v>0.86465849211273771</v>
      </c>
      <c r="H4">
        <f t="shared" si="1"/>
        <v>0.74763430798267327</v>
      </c>
      <c r="I4">
        <f t="shared" si="2"/>
        <v>0.45692473416698509</v>
      </c>
      <c r="J4">
        <f t="shared" si="3"/>
        <v>1.2526092322236879</v>
      </c>
      <c r="K4" t="s">
        <v>12</v>
      </c>
      <c r="L4">
        <f>AVERAGE(G2:G51)</f>
        <v>0.69556447365064344</v>
      </c>
      <c r="M4">
        <f t="shared" ref="M4:O4" si="5">AVERAGE(H2:H51)</f>
        <v>0.54763925095393962</v>
      </c>
      <c r="N4">
        <f t="shared" si="5"/>
        <v>0.22576819724935263</v>
      </c>
      <c r="O4">
        <f t="shared" si="5"/>
        <v>0.58005657626491203</v>
      </c>
    </row>
    <row r="5" spans="1:15" x14ac:dyDescent="0.25">
      <c r="A5">
        <v>0.20050411373672983</v>
      </c>
      <c r="B5">
        <v>0.56893040316958321</v>
      </c>
      <c r="C5">
        <v>0.91461820977587571</v>
      </c>
      <c r="D5">
        <v>0.16158926066734836</v>
      </c>
      <c r="E5">
        <v>8.2626914416981556E-2</v>
      </c>
      <c r="F5">
        <v>0.34174378317705489</v>
      </c>
      <c r="G5">
        <f t="shared" si="0"/>
        <v>0.7524563493075801</v>
      </c>
      <c r="H5">
        <f t="shared" si="1"/>
        <v>0.56619055761329107</v>
      </c>
      <c r="I5">
        <f t="shared" si="2"/>
        <v>0.57287442659882082</v>
      </c>
      <c r="J5">
        <f t="shared" si="3"/>
        <v>1.0980927684208039</v>
      </c>
    </row>
    <row r="6" spans="1:15" x14ac:dyDescent="0.25">
      <c r="A6">
        <v>2.0677444334963102E-2</v>
      </c>
      <c r="B6">
        <v>0.44350384289378297</v>
      </c>
      <c r="C6">
        <v>0.70517283907968853</v>
      </c>
      <c r="D6">
        <v>0.63647518125355562</v>
      </c>
      <c r="E6">
        <v>0.80388731731548502</v>
      </c>
      <c r="F6">
        <v>0.74644090615141945</v>
      </c>
      <c r="G6">
        <f t="shared" si="0"/>
        <v>0.71469304935066669</v>
      </c>
      <c r="H6">
        <f t="shared" si="1"/>
        <v>0.51078615479015455</v>
      </c>
      <c r="I6">
        <f t="shared" si="2"/>
        <v>9.8714478235796488E-2</v>
      </c>
      <c r="J6">
        <f t="shared" si="3"/>
        <v>1.0174492784120255</v>
      </c>
    </row>
    <row r="7" spans="1:15" x14ac:dyDescent="0.25">
      <c r="A7">
        <v>0.24858500854117338</v>
      </c>
      <c r="B7">
        <v>0.13918898221008735</v>
      </c>
      <c r="C7">
        <v>0.19951746128042869</v>
      </c>
      <c r="D7">
        <v>0.46746487347364063</v>
      </c>
      <c r="E7">
        <v>0.31774902658404347</v>
      </c>
      <c r="F7">
        <v>0.42081564244660985</v>
      </c>
      <c r="G7">
        <f t="shared" si="0"/>
        <v>0.3588383615322423</v>
      </c>
      <c r="H7">
        <f t="shared" si="1"/>
        <v>0.12876496970714424</v>
      </c>
      <c r="I7">
        <f t="shared" si="2"/>
        <v>0.21887986493246725</v>
      </c>
      <c r="J7">
        <f t="shared" si="3"/>
        <v>0.61873809047260453</v>
      </c>
    </row>
    <row r="8" spans="1:15" x14ac:dyDescent="0.25">
      <c r="A8">
        <v>0.87949811807007183</v>
      </c>
      <c r="B8">
        <v>0.83213423507868911</v>
      </c>
      <c r="C8">
        <v>0.12182827598766544</v>
      </c>
      <c r="D8">
        <v>6.0290920495589262E-2</v>
      </c>
      <c r="E8">
        <v>0.48374018919360795</v>
      </c>
      <c r="F8">
        <v>9.9374612642565197E-2</v>
      </c>
      <c r="G8">
        <f t="shared" si="0"/>
        <v>0.89049593528753879</v>
      </c>
      <c r="H8">
        <f t="shared" si="1"/>
        <v>0.79298301076362854</v>
      </c>
      <c r="I8">
        <f t="shared" si="2"/>
        <v>0.39575792887646388</v>
      </c>
      <c r="J8">
        <f t="shared" si="3"/>
        <v>1.190054906804664</v>
      </c>
    </row>
    <row r="9" spans="1:15" x14ac:dyDescent="0.25">
      <c r="A9">
        <v>0.86211709252438951</v>
      </c>
      <c r="B9">
        <v>0.47036656165923763</v>
      </c>
      <c r="C9">
        <v>0.32392452434431984</v>
      </c>
      <c r="D9">
        <v>0.66459771121704847</v>
      </c>
      <c r="E9">
        <v>0.932204714182995</v>
      </c>
      <c r="F9">
        <v>0.79150272884486395</v>
      </c>
      <c r="G9">
        <f t="shared" si="0"/>
        <v>0.68624905278079973</v>
      </c>
      <c r="H9">
        <f t="shared" si="1"/>
        <v>0.47093776244254482</v>
      </c>
      <c r="I9">
        <f t="shared" si="2"/>
        <v>7.0087621658605492E-2</v>
      </c>
      <c r="J9">
        <f t="shared" si="3"/>
        <v>0.73189697571696044</v>
      </c>
    </row>
    <row r="10" spans="1:15" x14ac:dyDescent="0.25">
      <c r="A10">
        <v>0.61128265447099484</v>
      </c>
      <c r="B10">
        <v>0.6315168266937663</v>
      </c>
      <c r="C10">
        <v>0.91045454130324455</v>
      </c>
      <c r="D10">
        <v>0.38989567704092964</v>
      </c>
      <c r="E10">
        <v>0.32467938276727715</v>
      </c>
      <c r="F10">
        <v>0.4711363026707529</v>
      </c>
      <c r="G10">
        <f t="shared" si="0"/>
        <v>0.5797947270940953</v>
      </c>
      <c r="H10">
        <f t="shared" si="1"/>
        <v>0.33616192556611646</v>
      </c>
      <c r="I10">
        <f t="shared" si="2"/>
        <v>0.43931823863249164</v>
      </c>
      <c r="J10">
        <f t="shared" si="3"/>
        <v>0.96754265998904598</v>
      </c>
    </row>
    <row r="11" spans="1:15" x14ac:dyDescent="0.25">
      <c r="A11">
        <v>0.83744802757286863</v>
      </c>
      <c r="B11">
        <v>0.65425186261765078</v>
      </c>
      <c r="C11">
        <v>0.5100580036816833</v>
      </c>
      <c r="D11">
        <v>0.9493397959342893</v>
      </c>
      <c r="E11">
        <v>0.24698140652347256</v>
      </c>
      <c r="F11">
        <v>0.80816253421063422</v>
      </c>
      <c r="G11">
        <f t="shared" si="0"/>
        <v>0.51696741034236582</v>
      </c>
      <c r="H11">
        <f t="shared" si="1"/>
        <v>0.26725530335609199</v>
      </c>
      <c r="I11">
        <f t="shared" si="2"/>
        <v>0.11189176836142067</v>
      </c>
      <c r="J11">
        <f t="shared" si="3"/>
        <v>2.7258427961935894E-3</v>
      </c>
    </row>
    <row r="12" spans="1:15" x14ac:dyDescent="0.25">
      <c r="A12">
        <v>0.93345818463487706</v>
      </c>
      <c r="B12">
        <v>0.90291674245135511</v>
      </c>
      <c r="C12">
        <v>0.29750583426214927</v>
      </c>
      <c r="D12">
        <v>0.80751459505901479</v>
      </c>
      <c r="E12">
        <v>0.33394848637710695</v>
      </c>
      <c r="F12">
        <v>0.38563206901736091</v>
      </c>
      <c r="G12">
        <f t="shared" si="0"/>
        <v>0.58936652214691931</v>
      </c>
      <c r="H12">
        <f t="shared" si="1"/>
        <v>0.34735289742755515</v>
      </c>
      <c r="I12">
        <f t="shared" si="2"/>
        <v>0.12594358957586227</v>
      </c>
      <c r="J12">
        <f t="shared" si="3"/>
        <v>0.60678561089489857</v>
      </c>
    </row>
    <row r="13" spans="1:15" x14ac:dyDescent="0.25">
      <c r="A13">
        <v>0.67599600380175673</v>
      </c>
      <c r="B13">
        <v>0.51876791779044118</v>
      </c>
      <c r="C13">
        <v>0.88387141024696891</v>
      </c>
      <c r="D13">
        <v>0.28405648557311602</v>
      </c>
      <c r="E13">
        <v>0.39500648971602637</v>
      </c>
      <c r="F13">
        <v>0.72772937693935003</v>
      </c>
      <c r="G13">
        <f t="shared" si="0"/>
        <v>0.43967466562647783</v>
      </c>
      <c r="H13">
        <f t="shared" si="1"/>
        <v>0.19331381159375507</v>
      </c>
      <c r="I13">
        <f t="shared" si="2"/>
        <v>0.15614203330761889</v>
      </c>
      <c r="J13">
        <f t="shared" si="3"/>
        <v>0.67184297961067463</v>
      </c>
    </row>
    <row r="14" spans="1:15" x14ac:dyDescent="0.25">
      <c r="A14">
        <v>0.15082140829205937</v>
      </c>
      <c r="B14">
        <v>0.85732223022997389</v>
      </c>
      <c r="C14">
        <v>0.62018290877867632</v>
      </c>
      <c r="D14">
        <v>0.59039927924305946</v>
      </c>
      <c r="E14">
        <v>1.315105259280358E-3</v>
      </c>
      <c r="F14">
        <v>0.48572714399310546</v>
      </c>
      <c r="G14">
        <f t="shared" si="0"/>
        <v>0.97162505901941387</v>
      </c>
      <c r="H14">
        <f t="shared" si="1"/>
        <v>0.94405525531447942</v>
      </c>
      <c r="I14">
        <f t="shared" si="2"/>
        <v>0.26692295098691443</v>
      </c>
      <c r="J14">
        <f t="shared" si="3"/>
        <v>0.5508850188052643</v>
      </c>
    </row>
    <row r="15" spans="1:15" x14ac:dyDescent="0.25">
      <c r="A15">
        <v>0.56150642011502683</v>
      </c>
      <c r="B15">
        <v>0.38709255330507197</v>
      </c>
      <c r="C15">
        <v>0.73474502500713434</v>
      </c>
      <c r="D15">
        <v>0.40236574668993086</v>
      </c>
      <c r="E15">
        <v>0.63759476610076238</v>
      </c>
      <c r="F15">
        <v>0.34897266605695076</v>
      </c>
      <c r="G15">
        <f t="shared" si="0"/>
        <v>0.48672109619752429</v>
      </c>
      <c r="H15">
        <f t="shared" si="1"/>
        <v>0.2368974254837197</v>
      </c>
      <c r="I15">
        <f t="shared" si="2"/>
        <v>9.7150258906371967E-2</v>
      </c>
      <c r="J15">
        <f t="shared" si="3"/>
        <v>0.29441081957958914</v>
      </c>
    </row>
    <row r="16" spans="1:15" x14ac:dyDescent="0.25">
      <c r="A16">
        <v>6.6952321102391466E-2</v>
      </c>
      <c r="B16">
        <v>0.30119971403042367</v>
      </c>
      <c r="C16">
        <v>0.54488665274434478</v>
      </c>
      <c r="D16">
        <v>0.85872252757307987</v>
      </c>
      <c r="E16">
        <v>0.69266020976118625</v>
      </c>
      <c r="F16">
        <v>0.55407377613274922</v>
      </c>
      <c r="G16">
        <f t="shared" si="0"/>
        <v>0.88330390172837159</v>
      </c>
      <c r="H16">
        <f t="shared" si="1"/>
        <v>0.78022578280856481</v>
      </c>
      <c r="I16">
        <f t="shared" si="2"/>
        <v>0.3138358748287351</v>
      </c>
      <c r="J16">
        <f t="shared" si="3"/>
        <v>1.1924178255898554</v>
      </c>
    </row>
    <row r="17" spans="1:10" x14ac:dyDescent="0.25">
      <c r="A17">
        <v>0.32412700147041562</v>
      </c>
      <c r="B17">
        <v>0.80618199583977646</v>
      </c>
      <c r="C17">
        <v>0.56833034474564315</v>
      </c>
      <c r="D17">
        <v>0.96018344740551087</v>
      </c>
      <c r="E17">
        <v>0.76694983442405218</v>
      </c>
      <c r="F17">
        <v>0.30796235211175071</v>
      </c>
      <c r="G17">
        <f t="shared" si="0"/>
        <v>0.68840283010250392</v>
      </c>
      <c r="H17">
        <f t="shared" si="1"/>
        <v>0.47389845649313689</v>
      </c>
      <c r="I17">
        <f t="shared" si="2"/>
        <v>0.15400145156573442</v>
      </c>
      <c r="J17">
        <f t="shared" si="3"/>
        <v>0.33645629188547854</v>
      </c>
    </row>
    <row r="18" spans="1:10" x14ac:dyDescent="0.25">
      <c r="A18">
        <v>0.46364425488886329</v>
      </c>
      <c r="B18">
        <v>0.24868740528045752</v>
      </c>
      <c r="C18">
        <v>0.58365340455006542</v>
      </c>
      <c r="D18">
        <v>0.56110477725610153</v>
      </c>
      <c r="E18">
        <v>0.87509965179879434</v>
      </c>
      <c r="F18">
        <v>9.0484522395323896E-2</v>
      </c>
      <c r="G18">
        <f t="shared" si="0"/>
        <v>0.80318516067840906</v>
      </c>
      <c r="H18">
        <f t="shared" si="1"/>
        <v>0.64510640233400185</v>
      </c>
      <c r="I18">
        <f t="shared" si="2"/>
        <v>0.29144624724872892</v>
      </c>
      <c r="J18">
        <f t="shared" si="3"/>
        <v>0.23070388673083353</v>
      </c>
    </row>
    <row r="19" spans="1:10" x14ac:dyDescent="0.25">
      <c r="A19">
        <v>0.78285576290714687</v>
      </c>
      <c r="B19">
        <v>0.18193867036199807</v>
      </c>
      <c r="C19">
        <v>0.90842624180375253</v>
      </c>
      <c r="D19">
        <v>0.99144342909489325</v>
      </c>
      <c r="E19">
        <v>0.6030088944601264</v>
      </c>
      <c r="F19">
        <v>0.92728589799608518</v>
      </c>
      <c r="G19">
        <f t="shared" si="0"/>
        <v>0.47028144205293892</v>
      </c>
      <c r="H19">
        <f t="shared" si="1"/>
        <v>0.22116463473939174</v>
      </c>
      <c r="I19">
        <f t="shared" si="2"/>
        <v>8.3017187291140715E-2</v>
      </c>
      <c r="J19">
        <f t="shared" si="3"/>
        <v>0.64851754647820714</v>
      </c>
    </row>
    <row r="20" spans="1:10" x14ac:dyDescent="0.25">
      <c r="A20">
        <v>0.11379673377615873</v>
      </c>
      <c r="B20">
        <v>0.86465314599309173</v>
      </c>
      <c r="C20">
        <v>0.70294822644240473</v>
      </c>
      <c r="D20">
        <v>0.25188785210600662</v>
      </c>
      <c r="E20">
        <v>7.3318855286092166E-2</v>
      </c>
      <c r="F20">
        <v>0.4104565523502357</v>
      </c>
      <c r="G20">
        <f t="shared" si="0"/>
        <v>0.85488624741750163</v>
      </c>
      <c r="H20">
        <f t="shared" si="1"/>
        <v>0.73083049602357786</v>
      </c>
      <c r="I20">
        <f t="shared" si="2"/>
        <v>0.45419659364285603</v>
      </c>
      <c r="J20">
        <f t="shared" si="3"/>
        <v>0.94573484646932071</v>
      </c>
    </row>
    <row r="21" spans="1:10" x14ac:dyDescent="0.25">
      <c r="A21">
        <v>0.71425822229246183</v>
      </c>
      <c r="B21">
        <v>0.39943803106136144</v>
      </c>
      <c r="C21">
        <v>0.37358147548869458</v>
      </c>
      <c r="D21">
        <v>0.28801034118940549</v>
      </c>
      <c r="E21">
        <v>0.96088046654620118</v>
      </c>
      <c r="F21">
        <v>0.3191596420368179</v>
      </c>
      <c r="G21">
        <f t="shared" si="0"/>
        <v>0.70701244717774059</v>
      </c>
      <c r="H21">
        <f t="shared" si="1"/>
        <v>0.49986660046425746</v>
      </c>
      <c r="I21">
        <f t="shared" si="2"/>
        <v>0.24662224425373935</v>
      </c>
      <c r="J21">
        <f t="shared" si="3"/>
        <v>8.0772720929906727E-2</v>
      </c>
    </row>
    <row r="22" spans="1:10" x14ac:dyDescent="0.25">
      <c r="A22">
        <v>0.85717677691801075</v>
      </c>
      <c r="B22">
        <v>0.85629470253047835</v>
      </c>
      <c r="C22">
        <v>0.13603335257717575</v>
      </c>
      <c r="D22">
        <v>0.30110122709139153</v>
      </c>
      <c r="E22">
        <v>6.6493900503418413E-2</v>
      </c>
      <c r="F22">
        <v>0.11900847120438396</v>
      </c>
      <c r="G22">
        <f t="shared" si="0"/>
        <v>0.96607203177781809</v>
      </c>
      <c r="H22">
        <f t="shared" si="1"/>
        <v>0.93329517058332156</v>
      </c>
      <c r="I22">
        <f t="shared" si="2"/>
        <v>0.55607554982661922</v>
      </c>
      <c r="J22">
        <f t="shared" si="3"/>
        <v>1.3629012332264709</v>
      </c>
    </row>
    <row r="23" spans="1:10" x14ac:dyDescent="0.25">
      <c r="A23">
        <v>0.7593150073421242</v>
      </c>
      <c r="B23">
        <v>0.93495144212950576</v>
      </c>
      <c r="C23">
        <v>0.90657555230786535</v>
      </c>
      <c r="D23">
        <v>0.2591602136930764</v>
      </c>
      <c r="E23">
        <v>0.73554342010995488</v>
      </c>
      <c r="F23">
        <v>0.8307090325394455</v>
      </c>
      <c r="G23">
        <f t="shared" si="0"/>
        <v>0.54375923502745527</v>
      </c>
      <c r="H23">
        <f t="shared" si="1"/>
        <v>0.29567410567764335</v>
      </c>
      <c r="I23">
        <f t="shared" si="2"/>
        <v>0.10424240959006026</v>
      </c>
      <c r="J23">
        <f t="shared" si="3"/>
        <v>0.77542933543701853</v>
      </c>
    </row>
    <row r="24" spans="1:10" x14ac:dyDescent="0.25">
      <c r="A24">
        <v>0.21848527442179622</v>
      </c>
      <c r="B24">
        <v>0.98003246840981184</v>
      </c>
      <c r="C24">
        <v>0.1414866495261462</v>
      </c>
      <c r="D24">
        <v>0.17000208858562704</v>
      </c>
      <c r="E24">
        <v>2.4220536391216463E-2</v>
      </c>
      <c r="F24">
        <v>0.88952613267157976</v>
      </c>
      <c r="G24">
        <f t="shared" si="0"/>
        <v>1.2146975496157189</v>
      </c>
      <c r="H24">
        <f t="shared" si="1"/>
        <v>1.4754901370424318</v>
      </c>
      <c r="I24">
        <f t="shared" si="2"/>
        <v>9.050633573823208E-2</v>
      </c>
      <c r="J24">
        <f t="shared" si="3"/>
        <v>0.25625563470933099</v>
      </c>
    </row>
    <row r="25" spans="1:10" x14ac:dyDescent="0.25">
      <c r="A25">
        <v>0.65791026864372304</v>
      </c>
      <c r="B25">
        <v>0.13214077790043666</v>
      </c>
      <c r="C25">
        <v>0.55510015109240318</v>
      </c>
      <c r="D25">
        <v>0.75189233819414358</v>
      </c>
      <c r="E25">
        <v>0.64229321667026262</v>
      </c>
      <c r="F25">
        <v>0.55975840037358893</v>
      </c>
      <c r="G25">
        <f t="shared" si="0"/>
        <v>0.51875797773735177</v>
      </c>
      <c r="H25">
        <f t="shared" si="1"/>
        <v>0.26910983946614681</v>
      </c>
      <c r="I25">
        <f t="shared" si="2"/>
        <v>9.3982069550420544E-2</v>
      </c>
      <c r="J25">
        <f t="shared" si="3"/>
        <v>0.60879275760143226</v>
      </c>
    </row>
    <row r="26" spans="1:10" x14ac:dyDescent="0.25">
      <c r="A26">
        <v>0.42431170009372732</v>
      </c>
      <c r="B26">
        <v>0.85828774511790851</v>
      </c>
      <c r="C26">
        <v>0.82149967737747653</v>
      </c>
      <c r="D26">
        <v>0.4862449901738195</v>
      </c>
      <c r="E26">
        <v>0.34271810254753521</v>
      </c>
      <c r="F26">
        <v>9.7946922847814477E-2</v>
      </c>
      <c r="G26">
        <f t="shared" si="0"/>
        <v>0.89060450108212941</v>
      </c>
      <c r="H26">
        <f t="shared" si="1"/>
        <v>0.79317637734774871</v>
      </c>
      <c r="I26">
        <f t="shared" si="2"/>
        <v>0.372042754944089</v>
      </c>
      <c r="J26">
        <f t="shared" si="3"/>
        <v>1.1771891070199432</v>
      </c>
    </row>
    <row r="27" spans="1:10" x14ac:dyDescent="0.25">
      <c r="A27">
        <v>0.94430707221558396</v>
      </c>
      <c r="B27">
        <v>0.13617076155797325</v>
      </c>
      <c r="C27">
        <v>0.74114219223055522</v>
      </c>
      <c r="D27">
        <v>0.69113494166817646</v>
      </c>
      <c r="E27">
        <v>0.97730115334361356</v>
      </c>
      <c r="F27">
        <v>0.8780241974452232</v>
      </c>
      <c r="G27">
        <f t="shared" si="0"/>
        <v>0.88900683182018725</v>
      </c>
      <c r="H27">
        <f t="shared" si="1"/>
        <v>0.79033314702296675</v>
      </c>
      <c r="I27">
        <f t="shared" si="2"/>
        <v>3.2994081128029595E-2</v>
      </c>
      <c r="J27">
        <f t="shared" si="3"/>
        <v>0.72484026645290056</v>
      </c>
    </row>
    <row r="28" spans="1:10" x14ac:dyDescent="0.25">
      <c r="A28">
        <v>0.63666303760505305</v>
      </c>
      <c r="B28">
        <v>0.89979111137667012</v>
      </c>
      <c r="C28">
        <v>0.54584372467438769</v>
      </c>
      <c r="D28">
        <v>0.62883154235135796</v>
      </c>
      <c r="E28">
        <v>0.27371732412042982</v>
      </c>
      <c r="F28">
        <v>0.58837093725379619</v>
      </c>
      <c r="G28">
        <f t="shared" si="0"/>
        <v>0.62756536170908517</v>
      </c>
      <c r="H28">
        <f t="shared" si="1"/>
        <v>0.39383828321705489</v>
      </c>
      <c r="I28">
        <f t="shared" si="2"/>
        <v>0.27095956902531215</v>
      </c>
      <c r="J28">
        <f t="shared" si="3"/>
        <v>0.59137806993052666</v>
      </c>
    </row>
    <row r="29" spans="1:10" x14ac:dyDescent="0.25">
      <c r="A29">
        <v>0.8364640364950453</v>
      </c>
      <c r="B29">
        <v>0.89036901482667385</v>
      </c>
      <c r="C29">
        <v>0.72354687941390128</v>
      </c>
      <c r="D29">
        <v>0.88241499902225318</v>
      </c>
      <c r="E29">
        <v>0.37355491905486038</v>
      </c>
      <c r="F29">
        <v>0.17560158983056429</v>
      </c>
      <c r="G29">
        <f t="shared" si="0"/>
        <v>0.75462066028050223</v>
      </c>
      <c r="H29">
        <f t="shared" si="1"/>
        <v>0.56945234092218111</v>
      </c>
      <c r="I29">
        <f t="shared" si="2"/>
        <v>7.9540158044206777E-3</v>
      </c>
      <c r="J29">
        <f t="shared" si="3"/>
        <v>1.0188084228279426</v>
      </c>
    </row>
    <row r="30" spans="1:10" x14ac:dyDescent="0.25">
      <c r="A30">
        <v>0.31151267600476595</v>
      </c>
      <c r="B30">
        <v>0.78732092619511951</v>
      </c>
      <c r="C30">
        <v>0.25819616619079344</v>
      </c>
      <c r="D30">
        <v>8.9557037547013163E-2</v>
      </c>
      <c r="E30">
        <v>9.292624859052756E-2</v>
      </c>
      <c r="F30">
        <v>0.90537061599899737</v>
      </c>
      <c r="G30">
        <f t="shared" si="0"/>
        <v>0.9748246212592937</v>
      </c>
      <c r="H30">
        <f t="shared" si="1"/>
        <v>0.95028304221332538</v>
      </c>
      <c r="I30">
        <f t="shared" si="2"/>
        <v>0.11804968980387787</v>
      </c>
      <c r="J30">
        <f t="shared" si="3"/>
        <v>0.26917586625414081</v>
      </c>
    </row>
    <row r="31" spans="1:10" x14ac:dyDescent="0.25">
      <c r="A31">
        <v>0.18230411871067975</v>
      </c>
      <c r="B31">
        <v>0.65582072022011006</v>
      </c>
      <c r="C31">
        <v>0.61266551396904934</v>
      </c>
      <c r="D31">
        <v>0.96896514024167391</v>
      </c>
      <c r="E31">
        <v>3.2355880207411758E-2</v>
      </c>
      <c r="F31">
        <v>0.36628474467989047</v>
      </c>
      <c r="G31">
        <f t="shared" si="0"/>
        <v>1.0335605705539297</v>
      </c>
      <c r="H31">
        <f t="shared" si="1"/>
        <v>1.0682474530037644</v>
      </c>
      <c r="I31">
        <f t="shared" si="2"/>
        <v>0.31314442002156384</v>
      </c>
      <c r="J31">
        <f t="shared" si="3"/>
        <v>8.3184587770863017E-2</v>
      </c>
    </row>
    <row r="32" spans="1:10" x14ac:dyDescent="0.25">
      <c r="A32">
        <v>0.65511933396100996</v>
      </c>
      <c r="B32">
        <v>0.34711659266742068</v>
      </c>
      <c r="C32">
        <v>0.63718115546220511</v>
      </c>
      <c r="D32">
        <v>0.51331285930197224</v>
      </c>
      <c r="E32">
        <v>6.2147936318291741E-2</v>
      </c>
      <c r="F32">
        <v>0.17958689949608253</v>
      </c>
      <c r="G32">
        <f t="shared" si="0"/>
        <v>0.55741251730638552</v>
      </c>
      <c r="H32">
        <f t="shared" si="1"/>
        <v>0.31070871444984155</v>
      </c>
      <c r="I32">
        <f t="shared" si="2"/>
        <v>0.14180647465903773</v>
      </c>
      <c r="J32">
        <f t="shared" si="3"/>
        <v>0.88436938697428924</v>
      </c>
    </row>
    <row r="33" spans="1:10" x14ac:dyDescent="0.25">
      <c r="A33">
        <v>0.58784329123212853</v>
      </c>
      <c r="B33">
        <v>0.60138011803679192</v>
      </c>
      <c r="C33">
        <v>0.20499916504664295</v>
      </c>
      <c r="D33">
        <v>0.88498106632029039</v>
      </c>
      <c r="E33">
        <v>0.99194923367928634</v>
      </c>
      <c r="F33">
        <v>6.2004918698634448E-2</v>
      </c>
      <c r="G33">
        <f t="shared" si="0"/>
        <v>0.51115794620326327</v>
      </c>
      <c r="H33">
        <f t="shared" si="1"/>
        <v>0.26128244596673816</v>
      </c>
      <c r="I33">
        <f t="shared" si="2"/>
        <v>0.39056911564249441</v>
      </c>
      <c r="J33">
        <f t="shared" si="3"/>
        <v>0.54471264438264777</v>
      </c>
    </row>
    <row r="34" spans="1:10" x14ac:dyDescent="0.25">
      <c r="A34">
        <v>0.39755833177928634</v>
      </c>
      <c r="B34">
        <v>0.79212970668277372</v>
      </c>
      <c r="C34">
        <v>0.54250459746302404</v>
      </c>
      <c r="D34">
        <v>0.85134034464008113</v>
      </c>
      <c r="E34">
        <v>0.12190195839570084</v>
      </c>
      <c r="F34">
        <v>8.4982537491168131E-2</v>
      </c>
      <c r="G34">
        <f t="shared" si="0"/>
        <v>0.92975791748758185</v>
      </c>
      <c r="H34">
        <f t="shared" si="1"/>
        <v>0.86444978513084503</v>
      </c>
      <c r="I34">
        <f t="shared" si="2"/>
        <v>5.921063795730741E-2</v>
      </c>
      <c r="J34">
        <f t="shared" si="3"/>
        <v>0.67396779539813401</v>
      </c>
    </row>
    <row r="35" spans="1:10" x14ac:dyDescent="0.25">
      <c r="A35">
        <v>0.52195201479104103</v>
      </c>
      <c r="B35">
        <v>0.17772873052922478</v>
      </c>
      <c r="C35">
        <v>0.87623896941724877</v>
      </c>
      <c r="D35">
        <v>0.19607770288048432</v>
      </c>
      <c r="E35">
        <v>0.21243623297742165</v>
      </c>
      <c r="F35">
        <v>0.87095283649211463</v>
      </c>
      <c r="G35">
        <f t="shared" si="0"/>
        <v>0.32776000532504357</v>
      </c>
      <c r="H35">
        <f t="shared" si="1"/>
        <v>0.10742662109067258</v>
      </c>
      <c r="I35">
        <f t="shared" si="2"/>
        <v>5.2861329251341349E-3</v>
      </c>
      <c r="J35">
        <f t="shared" si="3"/>
        <v>0.29645294238749398</v>
      </c>
    </row>
    <row r="36" spans="1:10" x14ac:dyDescent="0.25">
      <c r="A36">
        <v>0.66662239485583052</v>
      </c>
      <c r="B36">
        <v>0.16149753323242599</v>
      </c>
      <c r="C36">
        <v>0.72005706328812402</v>
      </c>
      <c r="D36">
        <v>0.53656811738507582</v>
      </c>
      <c r="E36">
        <v>0.98232802969607769</v>
      </c>
      <c r="F36">
        <v>2.4659767729069415E-3</v>
      </c>
      <c r="G36">
        <f t="shared" si="0"/>
        <v>1.0980044564842597</v>
      </c>
      <c r="H36">
        <f t="shared" si="1"/>
        <v>1.2056137864592946</v>
      </c>
      <c r="I36">
        <f t="shared" si="2"/>
        <v>0.26227096640795367</v>
      </c>
      <c r="J36">
        <f t="shared" si="3"/>
        <v>2.6814867522320096E-2</v>
      </c>
    </row>
    <row r="37" spans="1:10" x14ac:dyDescent="0.25">
      <c r="A37">
        <v>2.241780685464434E-2</v>
      </c>
      <c r="B37">
        <v>0.16611008937867</v>
      </c>
      <c r="C37">
        <v>0.26755515051302425</v>
      </c>
      <c r="D37">
        <v>0.26966849378732261</v>
      </c>
      <c r="E37">
        <v>2.6879921800921025E-2</v>
      </c>
      <c r="F37">
        <v>0.39107337728364122</v>
      </c>
      <c r="G37">
        <f t="shared" si="0"/>
        <v>0.30947486828007037</v>
      </c>
      <c r="H37">
        <f t="shared" si="1"/>
        <v>9.57746940969669E-2</v>
      </c>
      <c r="I37">
        <f t="shared" si="2"/>
        <v>0.12351822677061697</v>
      </c>
      <c r="J37">
        <f t="shared" si="3"/>
        <v>0.23153874612554626</v>
      </c>
    </row>
    <row r="38" spans="1:10" x14ac:dyDescent="0.25">
      <c r="A38">
        <v>0.70582467097466095</v>
      </c>
      <c r="B38">
        <v>0.15207516589292336</v>
      </c>
      <c r="C38">
        <v>0.33635562763028215</v>
      </c>
      <c r="D38">
        <v>0.81760780683024792</v>
      </c>
      <c r="E38">
        <v>0.12316951152111799</v>
      </c>
      <c r="F38">
        <v>0.21781725170368027</v>
      </c>
      <c r="G38">
        <f t="shared" si="0"/>
        <v>0.1654761399226102</v>
      </c>
      <c r="H38">
        <f t="shared" si="1"/>
        <v>2.7382352883687271E-2</v>
      </c>
      <c r="I38">
        <f t="shared" si="2"/>
        <v>0.11178313585558697</v>
      </c>
      <c r="J38">
        <f t="shared" si="3"/>
        <v>3.5660894442820279E-2</v>
      </c>
    </row>
    <row r="39" spans="1:10" x14ac:dyDescent="0.25">
      <c r="A39">
        <v>0.46960579814139169</v>
      </c>
      <c r="B39">
        <v>0.9096561707797024</v>
      </c>
      <c r="C39">
        <v>0.23399151166833132</v>
      </c>
      <c r="D39">
        <v>0.97326025197091859</v>
      </c>
      <c r="E39">
        <v>0.58772066348388385</v>
      </c>
      <c r="F39">
        <v>1.9865306496932078E-2</v>
      </c>
      <c r="G39">
        <f t="shared" si="0"/>
        <v>0.63494906209966107</v>
      </c>
      <c r="H39">
        <f t="shared" si="1"/>
        <v>0.40316031146123921</v>
      </c>
      <c r="I39">
        <f t="shared" si="2"/>
        <v>6.3604081191216189E-2</v>
      </c>
      <c r="J39">
        <f t="shared" si="3"/>
        <v>3.2407258637690894E-2</v>
      </c>
    </row>
    <row r="40" spans="1:10" x14ac:dyDescent="0.25">
      <c r="A40">
        <v>0.4018285483345565</v>
      </c>
      <c r="B40">
        <v>0.6967963237435324</v>
      </c>
      <c r="C40">
        <v>0.1103633740211869</v>
      </c>
      <c r="D40">
        <v>0.56122171910880425</v>
      </c>
      <c r="E40">
        <v>0.78415277886598478</v>
      </c>
      <c r="F40">
        <v>0.28808546822884384</v>
      </c>
      <c r="G40">
        <f t="shared" si="0"/>
        <v>0.25420951184128582</v>
      </c>
      <c r="H40">
        <f t="shared" si="1"/>
        <v>6.4622475910584842E-2</v>
      </c>
      <c r="I40">
        <f t="shared" si="2"/>
        <v>8.7356455122452381E-2</v>
      </c>
      <c r="J40">
        <f t="shared" si="3"/>
        <v>0.42447172010435708</v>
      </c>
    </row>
    <row r="41" spans="1:10" x14ac:dyDescent="0.25">
      <c r="A41">
        <v>0.97544136113202851</v>
      </c>
      <c r="B41">
        <v>0.37683466411207589</v>
      </c>
      <c r="C41">
        <v>0.32343829423880566</v>
      </c>
      <c r="D41">
        <v>0.26633736536435149</v>
      </c>
      <c r="E41">
        <v>0.51680535033212416</v>
      </c>
      <c r="F41">
        <v>0.3117708599581368</v>
      </c>
      <c r="G41">
        <f t="shared" si="0"/>
        <v>0.72288062557886457</v>
      </c>
      <c r="H41">
        <f t="shared" si="1"/>
        <v>0.52255639883729066</v>
      </c>
      <c r="I41">
        <f t="shared" si="2"/>
        <v>0.45863601079990435</v>
      </c>
      <c r="J41">
        <f t="shared" si="3"/>
        <v>0.58080074382829761</v>
      </c>
    </row>
    <row r="42" spans="1:10" x14ac:dyDescent="0.25">
      <c r="A42">
        <v>0.56397025263326306</v>
      </c>
      <c r="B42">
        <v>0.54183130672871638</v>
      </c>
      <c r="C42">
        <v>0.18873905294282833</v>
      </c>
      <c r="D42">
        <v>0.55288327995605169</v>
      </c>
      <c r="E42">
        <v>1.8640048033051748E-2</v>
      </c>
      <c r="F42">
        <v>0.9377608450472712</v>
      </c>
      <c r="G42">
        <f t="shared" si="0"/>
        <v>0.91372077747310221</v>
      </c>
      <c r="H42">
        <f t="shared" si="1"/>
        <v>0.83488565918605029</v>
      </c>
      <c r="I42">
        <f t="shared" si="2"/>
        <v>0.37379059241400814</v>
      </c>
      <c r="J42">
        <f t="shared" si="3"/>
        <v>0.21474356073156686</v>
      </c>
    </row>
    <row r="43" spans="1:10" x14ac:dyDescent="0.25">
      <c r="A43">
        <v>9.8984143096670696E-2</v>
      </c>
      <c r="B43">
        <v>0.91366688701881849</v>
      </c>
      <c r="C43">
        <v>3.3282465184500509E-2</v>
      </c>
      <c r="D43">
        <v>0.96779312220070146</v>
      </c>
      <c r="E43">
        <v>0.64789770941457592</v>
      </c>
      <c r="F43">
        <v>0.4759427334551829</v>
      </c>
      <c r="G43">
        <f t="shared" si="0"/>
        <v>1.0106485101367815</v>
      </c>
      <c r="H43">
        <f t="shared" si="1"/>
        <v>1.0214104110416962</v>
      </c>
      <c r="I43">
        <f t="shared" si="2"/>
        <v>5.4126235181882976E-2</v>
      </c>
      <c r="J43">
        <f t="shared" si="3"/>
        <v>1.0457000697704708</v>
      </c>
    </row>
    <row r="44" spans="1:10" x14ac:dyDescent="0.25">
      <c r="A44">
        <v>0.79011859657409311</v>
      </c>
      <c r="B44">
        <v>0.43836056108567156</v>
      </c>
      <c r="C44">
        <v>0.40494582022245718</v>
      </c>
      <c r="D44">
        <v>0.98380141038392654</v>
      </c>
      <c r="E44">
        <v>0.65417685815098747</v>
      </c>
      <c r="F44">
        <v>0.14622930766008668</v>
      </c>
      <c r="G44">
        <f t="shared" si="0"/>
        <v>0.38861798763916539</v>
      </c>
      <c r="H44">
        <f t="shared" si="1"/>
        <v>0.15102394031671451</v>
      </c>
      <c r="I44">
        <f t="shared" si="2"/>
        <v>0.19368281380983343</v>
      </c>
      <c r="J44">
        <f t="shared" si="3"/>
        <v>0.15078259831277885</v>
      </c>
    </row>
    <row r="45" spans="1:10" x14ac:dyDescent="0.25">
      <c r="A45">
        <v>0.72337813186336808</v>
      </c>
      <c r="B45">
        <v>0.62019088278018941</v>
      </c>
      <c r="C45">
        <v>0.72297909923798453</v>
      </c>
      <c r="D45">
        <v>0.17385379917141908</v>
      </c>
      <c r="E45">
        <v>0.94318376642916468</v>
      </c>
      <c r="F45">
        <v>0.83573840771277497</v>
      </c>
      <c r="G45">
        <f t="shared" si="0"/>
        <v>0.64731449601884039</v>
      </c>
      <c r="H45">
        <f t="shared" si="1"/>
        <v>0.4190160567561253</v>
      </c>
      <c r="I45">
        <f t="shared" si="2"/>
        <v>0.2198056345657966</v>
      </c>
      <c r="J45">
        <f t="shared" si="3"/>
        <v>0.1137721405681833</v>
      </c>
    </row>
    <row r="46" spans="1:10" x14ac:dyDescent="0.25">
      <c r="A46">
        <v>0.38029660583897518</v>
      </c>
      <c r="B46">
        <v>0.19950089878435762</v>
      </c>
      <c r="C46">
        <v>0.61221269637287423</v>
      </c>
      <c r="D46">
        <v>0.75008731931587658</v>
      </c>
      <c r="E46">
        <v>0.12179038054342461</v>
      </c>
      <c r="F46">
        <v>0.65215937855403916</v>
      </c>
      <c r="G46">
        <f t="shared" si="0"/>
        <v>0.37997346464761611</v>
      </c>
      <c r="H46">
        <f t="shared" si="1"/>
        <v>0.14437983383631317</v>
      </c>
      <c r="I46">
        <f t="shared" si="2"/>
        <v>0.13787462294300235</v>
      </c>
      <c r="J46">
        <f t="shared" si="3"/>
        <v>0.33202687741713333</v>
      </c>
    </row>
    <row r="47" spans="1:10" x14ac:dyDescent="0.25">
      <c r="A47">
        <v>1.412310973658748E-2</v>
      </c>
      <c r="B47">
        <v>0.60843768831780842</v>
      </c>
      <c r="C47">
        <v>0.76309625621782584</v>
      </c>
      <c r="D47">
        <v>0.38088368869582734</v>
      </c>
      <c r="E47">
        <v>0.21093503675904923</v>
      </c>
      <c r="F47">
        <v>0.9609888876645396</v>
      </c>
      <c r="G47">
        <f t="shared" si="0"/>
        <v>0.57591941611276309</v>
      </c>
      <c r="H47">
        <f t="shared" si="1"/>
        <v>0.33168317385566598</v>
      </c>
      <c r="I47">
        <f t="shared" si="2"/>
        <v>0.19789263144671376</v>
      </c>
      <c r="J47">
        <f t="shared" si="3"/>
        <v>0.16715055884719443</v>
      </c>
    </row>
    <row r="48" spans="1:10" x14ac:dyDescent="0.25">
      <c r="A48">
        <v>0.71766069231432006</v>
      </c>
      <c r="B48">
        <v>0.95120432246008768</v>
      </c>
      <c r="C48">
        <v>4.1110389562692973E-2</v>
      </c>
      <c r="D48">
        <v>0.76679663239880558</v>
      </c>
      <c r="E48">
        <v>0.57167347846751948</v>
      </c>
      <c r="F48">
        <v>0.56794202360490154</v>
      </c>
      <c r="G48">
        <f t="shared" si="0"/>
        <v>0.65116017444042207</v>
      </c>
      <c r="H48">
        <f t="shared" si="1"/>
        <v>0.42400957277728085</v>
      </c>
      <c r="I48">
        <f t="shared" si="2"/>
        <v>0.1844076900612821</v>
      </c>
      <c r="J48">
        <f t="shared" si="3"/>
        <v>0.19643673013412588</v>
      </c>
    </row>
    <row r="49" spans="1:22" x14ac:dyDescent="0.25">
      <c r="A49">
        <v>0.43038793700839229</v>
      </c>
      <c r="B49">
        <v>0.76661268730715904</v>
      </c>
      <c r="C49">
        <v>7.9434332004441055E-2</v>
      </c>
      <c r="D49">
        <v>0.10015833501368565</v>
      </c>
      <c r="E49">
        <v>0.14139955263810222</v>
      </c>
      <c r="F49">
        <v>0.54639690304005839</v>
      </c>
      <c r="G49">
        <f t="shared" si="0"/>
        <v>0.84734709331211167</v>
      </c>
      <c r="H49">
        <f t="shared" si="1"/>
        <v>0.7179970965444844</v>
      </c>
      <c r="I49">
        <f t="shared" si="2"/>
        <v>0.22021578426710064</v>
      </c>
      <c r="J49">
        <f t="shared" si="3"/>
        <v>0.48848016562814611</v>
      </c>
    </row>
    <row r="50" spans="1:22" ht="15" customHeight="1" x14ac:dyDescent="0.25">
      <c r="A50">
        <v>0.84225304474916207</v>
      </c>
      <c r="B50">
        <v>0.12978945416629717</v>
      </c>
      <c r="C50">
        <v>0.12661501868246905</v>
      </c>
      <c r="D50">
        <v>0.19153159393927344</v>
      </c>
      <c r="E50">
        <v>0.97037036018344547</v>
      </c>
      <c r="F50">
        <v>0.43340532574478896</v>
      </c>
      <c r="G50">
        <f t="shared" si="0"/>
        <v>1.1064063261804538</v>
      </c>
      <c r="H50">
        <f t="shared" si="1"/>
        <v>1.2241349586121286</v>
      </c>
      <c r="I50">
        <f t="shared" si="2"/>
        <v>0.1281173154342834</v>
      </c>
      <c r="J50">
        <f t="shared" si="3"/>
        <v>0.49664976226957958</v>
      </c>
      <c r="S50" s="5" t="s">
        <v>14</v>
      </c>
      <c r="T50" s="4"/>
      <c r="U50" s="4"/>
      <c r="V50" s="4"/>
    </row>
    <row r="51" spans="1:22" x14ac:dyDescent="0.25">
      <c r="A51">
        <v>0.51803690724877716</v>
      </c>
      <c r="B51">
        <v>0.62132911444643857</v>
      </c>
      <c r="C51">
        <v>0.6367141627464532</v>
      </c>
      <c r="D51">
        <v>0.24083580154059891</v>
      </c>
      <c r="E51">
        <v>0.31422080315349987</v>
      </c>
      <c r="F51">
        <v>0.38750217185812552</v>
      </c>
      <c r="G51">
        <f t="shared" si="0"/>
        <v>0.48297265375335802</v>
      </c>
      <c r="H51">
        <f t="shared" si="1"/>
        <v>0.23326258427356106</v>
      </c>
      <c r="I51">
        <f t="shared" si="2"/>
        <v>0.24921199088832768</v>
      </c>
      <c r="J51">
        <f t="shared" si="3"/>
        <v>0.83352140788944462</v>
      </c>
      <c r="S51" s="4"/>
      <c r="T51" s="4"/>
      <c r="U51" s="4"/>
      <c r="V51" s="4"/>
    </row>
    <row r="52" spans="1:22" x14ac:dyDescent="0.25">
      <c r="S52" s="4"/>
      <c r="T52" s="4"/>
      <c r="U52" s="4"/>
      <c r="V52" s="4"/>
    </row>
    <row r="53" spans="1:22" x14ac:dyDescent="0.25">
      <c r="S53" s="4"/>
      <c r="T53" s="4"/>
      <c r="U53" s="4"/>
      <c r="V53" s="4"/>
    </row>
    <row r="54" spans="1:22" x14ac:dyDescent="0.25">
      <c r="S54" s="4"/>
      <c r="T54" s="4"/>
      <c r="U54" s="4"/>
      <c r="V54" s="4"/>
    </row>
    <row r="55" spans="1:22" x14ac:dyDescent="0.25">
      <c r="S55" s="4"/>
      <c r="T55" s="4"/>
      <c r="U55" s="4"/>
      <c r="V55" s="4"/>
    </row>
    <row r="56" spans="1:22" x14ac:dyDescent="0.25">
      <c r="S56" s="4"/>
      <c r="T56" s="4"/>
      <c r="U56" s="4"/>
      <c r="V56" s="4"/>
    </row>
    <row r="57" spans="1:22" x14ac:dyDescent="0.25">
      <c r="S57" s="4"/>
      <c r="T57" s="4"/>
      <c r="U57" s="4"/>
      <c r="V57" s="4"/>
    </row>
    <row r="58" spans="1:22" x14ac:dyDescent="0.25">
      <c r="S58" s="4"/>
      <c r="T58" s="4"/>
      <c r="U58" s="4"/>
      <c r="V58" s="4"/>
    </row>
    <row r="59" spans="1:22" x14ac:dyDescent="0.25">
      <c r="S59" s="4"/>
      <c r="T59" s="4"/>
      <c r="U59" s="4"/>
      <c r="V59" s="4"/>
    </row>
    <row r="60" spans="1:22" x14ac:dyDescent="0.25">
      <c r="S60" s="4"/>
      <c r="T60" s="4"/>
      <c r="U60" s="4"/>
      <c r="V60" s="4"/>
    </row>
    <row r="61" spans="1:22" x14ac:dyDescent="0.25">
      <c r="S61" s="4"/>
      <c r="T61" s="4"/>
      <c r="U61" s="4"/>
      <c r="V61" s="4"/>
    </row>
    <row r="62" spans="1:22" x14ac:dyDescent="0.25">
      <c r="S62" s="4"/>
      <c r="T62" s="4"/>
      <c r="U62" s="4"/>
      <c r="V62" s="4"/>
    </row>
  </sheetData>
  <mergeCells count="1">
    <mergeCell ref="S50:V6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workbookViewId="0">
      <selection activeCell="G2" sqref="G2"/>
    </sheetView>
  </sheetViews>
  <sheetFormatPr defaultRowHeight="15" x14ac:dyDescent="0.25"/>
  <cols>
    <col min="6" max="6" width="5.140625" customWidth="1"/>
    <col min="7" max="7" width="27.85546875" customWidth="1"/>
    <col min="11" max="11" width="27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13</v>
      </c>
      <c r="H1" s="5" t="s">
        <v>14</v>
      </c>
      <c r="I1" s="4"/>
      <c r="J1" s="4"/>
      <c r="K1" s="4"/>
    </row>
    <row r="2" spans="1:11" x14ac:dyDescent="0.25">
      <c r="A2">
        <v>0.42908170993415862</v>
      </c>
      <c r="B2">
        <v>0.26024920884550085</v>
      </c>
      <c r="C2">
        <v>0.7511308759735007</v>
      </c>
      <c r="D2">
        <f>A2*35</f>
        <v>15.017859847695551</v>
      </c>
      <c r="E2">
        <f>IF(B2&gt;=0.5,B2*35,B2*-35)</f>
        <v>-9.1087223095925296</v>
      </c>
      <c r="F2">
        <f>(2 + MIN(_xlfn.FLOOR.MATH(4*C2),3))</f>
        <v>5</v>
      </c>
      <c r="G2" t="str">
        <f>IF(F2=5,"ОТЛИЧНО",IF(F2=4,"ХОРОШО",IF(F2=3,"УДОВЛЕТВОРИТЕЛЬНО","ПЛОХО")))</f>
        <v>ОТЛИЧНО</v>
      </c>
      <c r="H2" s="4"/>
      <c r="I2" s="4"/>
      <c r="J2" s="4"/>
      <c r="K2" s="4"/>
    </row>
    <row r="3" spans="1:11" x14ac:dyDescent="0.25">
      <c r="A3">
        <v>0.68647585512020814</v>
      </c>
      <c r="B3">
        <v>0.10622094863318488</v>
      </c>
      <c r="C3">
        <v>0.52103974823481414</v>
      </c>
      <c r="D3">
        <f t="shared" ref="D3:D51" si="0">A3*35</f>
        <v>24.026654929207286</v>
      </c>
      <c r="E3">
        <f t="shared" ref="E3:E51" si="1">IF(B3&gt;=0.5,B3*35,B3*-35)</f>
        <v>-3.7177332021614706</v>
      </c>
      <c r="F3">
        <f t="shared" ref="F3:F51" si="2">(2 + MIN(_xlfn.FLOOR.MATH(4*C3),3))</f>
        <v>4</v>
      </c>
      <c r="G3" t="str">
        <f t="shared" ref="G3:G51" si="3">IF(F3=5,"ОТЛИЧНО",IF(F3=4,"ХОРОШО",IF(F3=3,"УДОВЛЕТВОРИТЕЛЬНО","ПЛОХО")))</f>
        <v>ХОРОШО</v>
      </c>
      <c r="H3" s="4"/>
      <c r="I3" s="4"/>
      <c r="J3" s="4"/>
      <c r="K3" s="4"/>
    </row>
    <row r="4" spans="1:11" x14ac:dyDescent="0.25">
      <c r="A4">
        <v>0.66355252967928036</v>
      </c>
      <c r="B4">
        <v>0.53005368783940909</v>
      </c>
      <c r="C4">
        <v>0.6268590241558365</v>
      </c>
      <c r="D4">
        <f t="shared" si="0"/>
        <v>23.224338538774813</v>
      </c>
      <c r="E4">
        <f t="shared" si="1"/>
        <v>18.551879074379318</v>
      </c>
      <c r="F4">
        <f t="shared" si="2"/>
        <v>4</v>
      </c>
      <c r="G4" t="str">
        <f t="shared" si="3"/>
        <v>ХОРОШО</v>
      </c>
      <c r="H4" s="4"/>
      <c r="I4" s="4"/>
      <c r="J4" s="4"/>
      <c r="K4" s="4"/>
    </row>
    <row r="5" spans="1:11" x14ac:dyDescent="0.25">
      <c r="A5">
        <v>0.44082753010721554</v>
      </c>
      <c r="B5">
        <v>0.14794203599062783</v>
      </c>
      <c r="C5">
        <v>0.16679094824729646</v>
      </c>
      <c r="D5">
        <f t="shared" si="0"/>
        <v>15.428963553752544</v>
      </c>
      <c r="E5">
        <f t="shared" si="1"/>
        <v>-5.177971259671974</v>
      </c>
      <c r="F5">
        <f t="shared" si="2"/>
        <v>2</v>
      </c>
      <c r="G5" t="str">
        <f t="shared" si="3"/>
        <v>ПЛОХО</v>
      </c>
      <c r="H5" s="4"/>
      <c r="I5" s="4"/>
      <c r="J5" s="4"/>
      <c r="K5" s="4"/>
    </row>
    <row r="6" spans="1:11" x14ac:dyDescent="0.25">
      <c r="A6">
        <v>0.37094570119127557</v>
      </c>
      <c r="B6">
        <v>0.3502487067895661</v>
      </c>
      <c r="C6">
        <v>0.93454813365666833</v>
      </c>
      <c r="D6">
        <f t="shared" si="0"/>
        <v>12.983099541694646</v>
      </c>
      <c r="E6">
        <f t="shared" si="1"/>
        <v>-12.258704737634813</v>
      </c>
      <c r="F6">
        <f t="shared" si="2"/>
        <v>5</v>
      </c>
      <c r="G6" t="str">
        <f t="shared" si="3"/>
        <v>ОТЛИЧНО</v>
      </c>
      <c r="H6" s="4"/>
      <c r="I6" s="4"/>
      <c r="J6" s="4"/>
      <c r="K6" s="4"/>
    </row>
    <row r="7" spans="1:11" x14ac:dyDescent="0.25">
      <c r="A7">
        <v>0.8473642050996224</v>
      </c>
      <c r="B7">
        <v>0.50097361959253894</v>
      </c>
      <c r="C7">
        <v>0.79827356491226187</v>
      </c>
      <c r="D7">
        <f t="shared" si="0"/>
        <v>29.657747178486783</v>
      </c>
      <c r="E7">
        <f t="shared" si="1"/>
        <v>17.534076685738864</v>
      </c>
      <c r="F7">
        <f t="shared" si="2"/>
        <v>5</v>
      </c>
      <c r="G7" t="str">
        <f t="shared" si="3"/>
        <v>ОТЛИЧНО</v>
      </c>
      <c r="H7" s="4"/>
      <c r="I7" s="4"/>
      <c r="J7" s="4"/>
      <c r="K7" s="4"/>
    </row>
    <row r="8" spans="1:11" x14ac:dyDescent="0.25">
      <c r="A8">
        <v>0.97834259994510031</v>
      </c>
      <c r="B8">
        <v>0.47341850913285821</v>
      </c>
      <c r="C8">
        <v>0.94229369672041252</v>
      </c>
      <c r="D8">
        <f t="shared" si="0"/>
        <v>34.241990998078514</v>
      </c>
      <c r="E8">
        <f t="shared" si="1"/>
        <v>-16.569647819650037</v>
      </c>
      <c r="F8">
        <f t="shared" si="2"/>
        <v>5</v>
      </c>
      <c r="G8" t="str">
        <f t="shared" si="3"/>
        <v>ОТЛИЧНО</v>
      </c>
      <c r="H8" s="4"/>
      <c r="I8" s="4"/>
      <c r="J8" s="4"/>
      <c r="K8" s="4"/>
    </row>
    <row r="9" spans="1:11" x14ac:dyDescent="0.25">
      <c r="A9">
        <v>0.74138265097012823</v>
      </c>
      <c r="B9">
        <v>0.75180629125050125</v>
      </c>
      <c r="C9">
        <v>0.16149293419613819</v>
      </c>
      <c r="D9">
        <f t="shared" si="0"/>
        <v>25.948392783954489</v>
      </c>
      <c r="E9">
        <f t="shared" si="1"/>
        <v>26.313220193767542</v>
      </c>
      <c r="F9">
        <f t="shared" si="2"/>
        <v>2</v>
      </c>
      <c r="G9" t="str">
        <f t="shared" si="3"/>
        <v>ПЛОХО</v>
      </c>
      <c r="H9" s="4"/>
      <c r="I9" s="4"/>
      <c r="J9" s="4"/>
      <c r="K9" s="4"/>
    </row>
    <row r="10" spans="1:11" x14ac:dyDescent="0.25">
      <c r="A10">
        <v>0.96484650333892574</v>
      </c>
      <c r="B10">
        <v>0.80177222904516654</v>
      </c>
      <c r="C10">
        <v>0.40765655468562834</v>
      </c>
      <c r="D10">
        <f t="shared" si="0"/>
        <v>33.769627616862401</v>
      </c>
      <c r="E10">
        <f t="shared" si="1"/>
        <v>28.062028016580829</v>
      </c>
      <c r="F10">
        <f t="shared" si="2"/>
        <v>3</v>
      </c>
      <c r="G10" t="str">
        <f t="shared" si="3"/>
        <v>УДОВЛЕТВОРИТЕЛЬНО</v>
      </c>
      <c r="H10" s="4"/>
      <c r="I10" s="4"/>
      <c r="J10" s="4"/>
      <c r="K10" s="4"/>
    </row>
    <row r="11" spans="1:11" x14ac:dyDescent="0.25">
      <c r="A11">
        <v>0.13493775516638529</v>
      </c>
      <c r="B11">
        <v>0.59556504621745354</v>
      </c>
      <c r="C11">
        <v>0.81449007345539237</v>
      </c>
      <c r="D11">
        <f t="shared" si="0"/>
        <v>4.722821430823485</v>
      </c>
      <c r="E11">
        <f t="shared" si="1"/>
        <v>20.844776617610876</v>
      </c>
      <c r="F11">
        <f t="shared" si="2"/>
        <v>5</v>
      </c>
      <c r="G11" t="str">
        <f t="shared" si="3"/>
        <v>ОТЛИЧНО</v>
      </c>
      <c r="H11" s="4"/>
      <c r="I11" s="4"/>
      <c r="J11" s="4"/>
      <c r="K11" s="4"/>
    </row>
    <row r="12" spans="1:11" x14ac:dyDescent="0.25">
      <c r="A12">
        <v>0.20311674627382925</v>
      </c>
      <c r="B12">
        <v>4.3491529362675863E-2</v>
      </c>
      <c r="C12">
        <v>0.74553234795009882</v>
      </c>
      <c r="D12">
        <f t="shared" si="0"/>
        <v>7.109086119584024</v>
      </c>
      <c r="E12">
        <f t="shared" si="1"/>
        <v>-1.5222035276936552</v>
      </c>
      <c r="F12">
        <f t="shared" si="2"/>
        <v>4</v>
      </c>
      <c r="G12" t="str">
        <f t="shared" si="3"/>
        <v>ХОРОШО</v>
      </c>
      <c r="H12" s="4"/>
      <c r="I12" s="4"/>
      <c r="J12" s="4"/>
      <c r="K12" s="4"/>
    </row>
    <row r="13" spans="1:11" x14ac:dyDescent="0.25">
      <c r="A13">
        <v>0.73908451252283602</v>
      </c>
      <c r="B13">
        <v>0.48846794030712548</v>
      </c>
      <c r="C13">
        <v>0.4100625490874894</v>
      </c>
      <c r="D13">
        <f t="shared" si="0"/>
        <v>25.867957938299259</v>
      </c>
      <c r="E13">
        <f t="shared" si="1"/>
        <v>-17.096377910749393</v>
      </c>
      <c r="F13">
        <f t="shared" si="2"/>
        <v>3</v>
      </c>
      <c r="G13" t="str">
        <f t="shared" si="3"/>
        <v>УДОВЛЕТВОРИТЕЛЬНО</v>
      </c>
      <c r="H13" s="4"/>
      <c r="I13" s="4"/>
      <c r="J13" s="4"/>
      <c r="K13" s="4"/>
    </row>
    <row r="14" spans="1:11" x14ac:dyDescent="0.25">
      <c r="A14">
        <v>0.48286965554037398</v>
      </c>
      <c r="B14">
        <v>8.2796626463239598E-3</v>
      </c>
      <c r="C14">
        <v>0.38378111730749209</v>
      </c>
      <c r="D14">
        <f t="shared" si="0"/>
        <v>16.90043794391309</v>
      </c>
      <c r="E14">
        <f t="shared" si="1"/>
        <v>-0.28978819262133859</v>
      </c>
      <c r="F14">
        <f t="shared" si="2"/>
        <v>3</v>
      </c>
      <c r="G14" t="str">
        <f t="shared" si="3"/>
        <v>УДОВЛЕТВОРИТЕЛЬНО</v>
      </c>
    </row>
    <row r="15" spans="1:11" x14ac:dyDescent="0.25">
      <c r="A15">
        <v>0.41820955727343834</v>
      </c>
      <c r="B15">
        <v>0.85126085275553187</v>
      </c>
      <c r="C15">
        <v>0.15517399577336466</v>
      </c>
      <c r="D15">
        <f t="shared" si="0"/>
        <v>14.637334504570342</v>
      </c>
      <c r="E15">
        <f t="shared" si="1"/>
        <v>29.794129846443617</v>
      </c>
      <c r="F15">
        <f t="shared" si="2"/>
        <v>2</v>
      </c>
      <c r="G15" t="str">
        <f t="shared" si="3"/>
        <v>ПЛОХО</v>
      </c>
    </row>
    <row r="16" spans="1:11" x14ac:dyDescent="0.25">
      <c r="A16">
        <v>0.88276967986524135</v>
      </c>
      <c r="B16">
        <v>0.39808213591905028</v>
      </c>
      <c r="C16">
        <v>0.98170416048923337</v>
      </c>
      <c r="D16">
        <f t="shared" si="0"/>
        <v>30.896938795283447</v>
      </c>
      <c r="E16">
        <f t="shared" si="1"/>
        <v>-13.932874757166759</v>
      </c>
      <c r="F16">
        <f t="shared" si="2"/>
        <v>5</v>
      </c>
      <c r="G16" t="str">
        <f t="shared" si="3"/>
        <v>ОТЛИЧНО</v>
      </c>
    </row>
    <row r="17" spans="1:7" x14ac:dyDescent="0.25">
      <c r="A17">
        <v>0.75517095368802711</v>
      </c>
      <c r="B17">
        <v>0.25669822077212689</v>
      </c>
      <c r="C17">
        <v>0.61504102315789444</v>
      </c>
      <c r="D17">
        <f t="shared" si="0"/>
        <v>26.430983379080949</v>
      </c>
      <c r="E17">
        <f t="shared" si="1"/>
        <v>-8.9844377270244422</v>
      </c>
      <c r="F17">
        <f t="shared" si="2"/>
        <v>4</v>
      </c>
      <c r="G17" t="str">
        <f t="shared" si="3"/>
        <v>ХОРОШО</v>
      </c>
    </row>
    <row r="18" spans="1:7" x14ac:dyDescent="0.25">
      <c r="A18">
        <v>0.75747073220695182</v>
      </c>
      <c r="B18">
        <v>0.1542077995158273</v>
      </c>
      <c r="C18">
        <v>0.4159289479274566</v>
      </c>
      <c r="D18">
        <f t="shared" si="0"/>
        <v>26.511475627243314</v>
      </c>
      <c r="E18">
        <f t="shared" si="1"/>
        <v>-5.3972729830539556</v>
      </c>
      <c r="F18">
        <f t="shared" si="2"/>
        <v>3</v>
      </c>
      <c r="G18" t="str">
        <f t="shared" si="3"/>
        <v>УДОВЛЕТВОРИТЕЛЬНО</v>
      </c>
    </row>
    <row r="19" spans="1:7" x14ac:dyDescent="0.25">
      <c r="A19">
        <v>0.1399658830342938</v>
      </c>
      <c r="B19">
        <v>4.719853322633405E-2</v>
      </c>
      <c r="C19">
        <v>9.3237619510413872E-2</v>
      </c>
      <c r="D19">
        <f t="shared" si="0"/>
        <v>4.8988059062002831</v>
      </c>
      <c r="E19">
        <f t="shared" si="1"/>
        <v>-1.6519486629216917</v>
      </c>
      <c r="F19">
        <f t="shared" si="2"/>
        <v>2</v>
      </c>
      <c r="G19" t="str">
        <f t="shared" si="3"/>
        <v>ПЛОХО</v>
      </c>
    </row>
    <row r="20" spans="1:7" x14ac:dyDescent="0.25">
      <c r="A20">
        <v>0.41466810769815954</v>
      </c>
      <c r="B20">
        <v>0.3727976170367584</v>
      </c>
      <c r="C20">
        <v>0.33586860669356877</v>
      </c>
      <c r="D20">
        <f t="shared" si="0"/>
        <v>14.513383769435585</v>
      </c>
      <c r="E20">
        <f t="shared" si="1"/>
        <v>-13.047916596286544</v>
      </c>
      <c r="F20">
        <f t="shared" si="2"/>
        <v>3</v>
      </c>
      <c r="G20" t="str">
        <f t="shared" si="3"/>
        <v>УДОВЛЕТВОРИТЕЛЬНО</v>
      </c>
    </row>
    <row r="21" spans="1:7" x14ac:dyDescent="0.25">
      <c r="A21">
        <v>0.86093504516196551</v>
      </c>
      <c r="B21">
        <v>0.59847190003854411</v>
      </c>
      <c r="C21">
        <v>0.64034087900589842</v>
      </c>
      <c r="D21">
        <f t="shared" si="0"/>
        <v>30.132726580668791</v>
      </c>
      <c r="E21">
        <f t="shared" si="1"/>
        <v>20.946516501349045</v>
      </c>
      <c r="F21">
        <f t="shared" si="2"/>
        <v>4</v>
      </c>
      <c r="G21" t="str">
        <f t="shared" si="3"/>
        <v>ХОРОШО</v>
      </c>
    </row>
    <row r="22" spans="1:7" x14ac:dyDescent="0.25">
      <c r="A22">
        <v>0.49810935845594284</v>
      </c>
      <c r="B22">
        <v>0.80249885883312011</v>
      </c>
      <c r="C22">
        <v>0.9136122024212876</v>
      </c>
      <c r="D22">
        <f t="shared" si="0"/>
        <v>17.433827545958</v>
      </c>
      <c r="E22">
        <f t="shared" si="1"/>
        <v>28.087460059159206</v>
      </c>
      <c r="F22">
        <f t="shared" si="2"/>
        <v>5</v>
      </c>
      <c r="G22" t="str">
        <f t="shared" si="3"/>
        <v>ОТЛИЧНО</v>
      </c>
    </row>
    <row r="23" spans="1:7" x14ac:dyDescent="0.25">
      <c r="A23">
        <v>0.53683758856011798</v>
      </c>
      <c r="B23">
        <v>0.51558298630542709</v>
      </c>
      <c r="C23">
        <v>0.97295854119466885</v>
      </c>
      <c r="D23">
        <f t="shared" si="0"/>
        <v>18.78931559960413</v>
      </c>
      <c r="E23">
        <f t="shared" si="1"/>
        <v>18.045404520689949</v>
      </c>
      <c r="F23">
        <f t="shared" si="2"/>
        <v>5</v>
      </c>
      <c r="G23" t="str">
        <f t="shared" si="3"/>
        <v>ОТЛИЧНО</v>
      </c>
    </row>
    <row r="24" spans="1:7" x14ac:dyDescent="0.25">
      <c r="A24">
        <v>0.21125213475626148</v>
      </c>
      <c r="B24">
        <v>0.73173220494071955</v>
      </c>
      <c r="C24">
        <v>0.51337961394993115</v>
      </c>
      <c r="D24">
        <f t="shared" si="0"/>
        <v>7.393824716469152</v>
      </c>
      <c r="E24">
        <f t="shared" si="1"/>
        <v>25.610627172925184</v>
      </c>
      <c r="F24">
        <f t="shared" si="2"/>
        <v>4</v>
      </c>
      <c r="G24" t="str">
        <f t="shared" si="3"/>
        <v>ХОРОШО</v>
      </c>
    </row>
    <row r="25" spans="1:7" x14ac:dyDescent="0.25">
      <c r="A25">
        <v>0.78701871015141234</v>
      </c>
      <c r="B25">
        <v>0.13563610411647709</v>
      </c>
      <c r="C25">
        <v>0.88387139996929065</v>
      </c>
      <c r="D25">
        <f t="shared" si="0"/>
        <v>27.545654855299432</v>
      </c>
      <c r="E25">
        <f t="shared" si="1"/>
        <v>-4.747263644076698</v>
      </c>
      <c r="F25">
        <f t="shared" si="2"/>
        <v>5</v>
      </c>
      <c r="G25" t="str">
        <f t="shared" si="3"/>
        <v>ОТЛИЧНО</v>
      </c>
    </row>
    <row r="26" spans="1:7" x14ac:dyDescent="0.25">
      <c r="A26">
        <v>0.14154758223365249</v>
      </c>
      <c r="B26">
        <v>0.33423231080560001</v>
      </c>
      <c r="C26">
        <v>0.68170061361243528</v>
      </c>
      <c r="D26">
        <f t="shared" si="0"/>
        <v>4.9541653781778372</v>
      </c>
      <c r="E26">
        <f t="shared" si="1"/>
        <v>-11.698130878196</v>
      </c>
      <c r="F26">
        <f t="shared" si="2"/>
        <v>4</v>
      </c>
      <c r="G26" t="str">
        <f t="shared" si="3"/>
        <v>ХОРОШО</v>
      </c>
    </row>
    <row r="27" spans="1:7" x14ac:dyDescent="0.25">
      <c r="A27">
        <v>0.82776557140713702</v>
      </c>
      <c r="B27">
        <v>0.93934360520347404</v>
      </c>
      <c r="C27">
        <v>2.5326568660960724E-2</v>
      </c>
      <c r="D27">
        <f t="shared" si="0"/>
        <v>28.971794999249795</v>
      </c>
      <c r="E27">
        <f t="shared" si="1"/>
        <v>32.87702618212159</v>
      </c>
      <c r="F27">
        <f t="shared" si="2"/>
        <v>2</v>
      </c>
      <c r="G27" t="str">
        <f t="shared" si="3"/>
        <v>ПЛОХО</v>
      </c>
    </row>
    <row r="28" spans="1:7" x14ac:dyDescent="0.25">
      <c r="A28">
        <v>0.5286402785260842</v>
      </c>
      <c r="B28">
        <v>0.32246570942778296</v>
      </c>
      <c r="C28">
        <v>0.93349052744697691</v>
      </c>
      <c r="D28">
        <f t="shared" si="0"/>
        <v>18.502409748412948</v>
      </c>
      <c r="E28">
        <f t="shared" si="1"/>
        <v>-11.286299829972403</v>
      </c>
      <c r="F28">
        <f t="shared" si="2"/>
        <v>5</v>
      </c>
      <c r="G28" t="str">
        <f t="shared" si="3"/>
        <v>ОТЛИЧНО</v>
      </c>
    </row>
    <row r="29" spans="1:7" x14ac:dyDescent="0.25">
      <c r="A29">
        <v>0.20232065551731093</v>
      </c>
      <c r="B29">
        <v>0.98190940664544013</v>
      </c>
      <c r="C29">
        <v>0.56405798370467353</v>
      </c>
      <c r="D29">
        <f t="shared" si="0"/>
        <v>7.0812229431058826</v>
      </c>
      <c r="E29">
        <f t="shared" si="1"/>
        <v>34.366829232590405</v>
      </c>
      <c r="F29">
        <f t="shared" si="2"/>
        <v>4</v>
      </c>
      <c r="G29" t="str">
        <f t="shared" si="3"/>
        <v>ХОРОШО</v>
      </c>
    </row>
    <row r="30" spans="1:7" x14ac:dyDescent="0.25">
      <c r="A30">
        <v>0.24278534491630754</v>
      </c>
      <c r="B30">
        <v>0.71842681424652177</v>
      </c>
      <c r="C30">
        <v>0.29804913066126915</v>
      </c>
      <c r="D30">
        <f t="shared" si="0"/>
        <v>8.4974870720707649</v>
      </c>
      <c r="E30">
        <f t="shared" si="1"/>
        <v>25.144938498628264</v>
      </c>
      <c r="F30">
        <f t="shared" si="2"/>
        <v>3</v>
      </c>
      <c r="G30" t="str">
        <f t="shared" si="3"/>
        <v>УДОВЛЕТВОРИТЕЛЬНО</v>
      </c>
    </row>
    <row r="31" spans="1:7" x14ac:dyDescent="0.25">
      <c r="A31">
        <v>0.72836805931866055</v>
      </c>
      <c r="B31">
        <v>0.69126835044755075</v>
      </c>
      <c r="C31">
        <v>0.77237234135490063</v>
      </c>
      <c r="D31">
        <f t="shared" si="0"/>
        <v>25.492882076153119</v>
      </c>
      <c r="E31">
        <f t="shared" si="1"/>
        <v>24.194392265664277</v>
      </c>
      <c r="F31">
        <f t="shared" si="2"/>
        <v>5</v>
      </c>
      <c r="G31" t="str">
        <f t="shared" si="3"/>
        <v>ОТЛИЧНО</v>
      </c>
    </row>
    <row r="32" spans="1:7" x14ac:dyDescent="0.25">
      <c r="A32">
        <v>0.67917205518938584</v>
      </c>
      <c r="B32">
        <v>0.78289581762836136</v>
      </c>
      <c r="C32">
        <v>0.86280071197106878</v>
      </c>
      <c r="D32">
        <f t="shared" si="0"/>
        <v>23.771021931628503</v>
      </c>
      <c r="E32">
        <f t="shared" si="1"/>
        <v>27.401353616992647</v>
      </c>
      <c r="F32">
        <f t="shared" si="2"/>
        <v>5</v>
      </c>
      <c r="G32" t="str">
        <f t="shared" si="3"/>
        <v>ОТЛИЧНО</v>
      </c>
    </row>
    <row r="33" spans="1:7" x14ac:dyDescent="0.25">
      <c r="A33">
        <v>7.5668658085395357E-2</v>
      </c>
      <c r="B33">
        <v>0.85128856704635592</v>
      </c>
      <c r="C33">
        <v>0.73919153257816728</v>
      </c>
      <c r="D33">
        <f t="shared" si="0"/>
        <v>2.6484030329888375</v>
      </c>
      <c r="E33">
        <f t="shared" si="1"/>
        <v>29.795099846622456</v>
      </c>
      <c r="F33">
        <f t="shared" si="2"/>
        <v>4</v>
      </c>
      <c r="G33" t="str">
        <f t="shared" si="3"/>
        <v>ХОРОШО</v>
      </c>
    </row>
    <row r="34" spans="1:7" x14ac:dyDescent="0.25">
      <c r="A34">
        <v>0.26205590853716743</v>
      </c>
      <c r="B34">
        <v>0.18348411305734769</v>
      </c>
      <c r="C34">
        <v>0.31968667035838827</v>
      </c>
      <c r="D34">
        <f t="shared" si="0"/>
        <v>9.1719567988008599</v>
      </c>
      <c r="E34">
        <f t="shared" si="1"/>
        <v>-6.4219439570071692</v>
      </c>
      <c r="F34">
        <f t="shared" si="2"/>
        <v>3</v>
      </c>
      <c r="G34" t="str">
        <f t="shared" si="3"/>
        <v>УДОВЛЕТВОРИТЕЛЬНО</v>
      </c>
    </row>
    <row r="35" spans="1:7" x14ac:dyDescent="0.25">
      <c r="A35">
        <v>0.86395632488542806</v>
      </c>
      <c r="B35">
        <v>8.8920865342482891E-2</v>
      </c>
      <c r="C35">
        <v>0.37640083621835529</v>
      </c>
      <c r="D35">
        <f t="shared" si="0"/>
        <v>30.238471370989981</v>
      </c>
      <c r="E35">
        <f t="shared" si="1"/>
        <v>-3.1122302869869012</v>
      </c>
      <c r="F35">
        <f t="shared" si="2"/>
        <v>3</v>
      </c>
      <c r="G35" t="str">
        <f t="shared" si="3"/>
        <v>УДОВЛЕТВОРИТЕЛЬНО</v>
      </c>
    </row>
    <row r="36" spans="1:7" x14ac:dyDescent="0.25">
      <c r="A36">
        <v>9.9616228975344612E-2</v>
      </c>
      <c r="B36">
        <v>0.18351517956071284</v>
      </c>
      <c r="C36">
        <v>0.68676681288965047</v>
      </c>
      <c r="D36">
        <f t="shared" si="0"/>
        <v>3.4865680141370614</v>
      </c>
      <c r="E36">
        <f t="shared" si="1"/>
        <v>-6.4230312846249493</v>
      </c>
      <c r="F36">
        <f t="shared" si="2"/>
        <v>4</v>
      </c>
      <c r="G36" t="str">
        <f t="shared" si="3"/>
        <v>ХОРОШО</v>
      </c>
    </row>
    <row r="37" spans="1:7" x14ac:dyDescent="0.25">
      <c r="A37">
        <v>8.7751664079270153E-2</v>
      </c>
      <c r="B37">
        <v>0.97838445097825866</v>
      </c>
      <c r="C37">
        <v>0.78225105419153795</v>
      </c>
      <c r="D37">
        <f t="shared" si="0"/>
        <v>3.0713082427744554</v>
      </c>
      <c r="E37">
        <f t="shared" si="1"/>
        <v>34.243455784239053</v>
      </c>
      <c r="F37">
        <f t="shared" si="2"/>
        <v>5</v>
      </c>
      <c r="G37" t="str">
        <f t="shared" si="3"/>
        <v>ОТЛИЧНО</v>
      </c>
    </row>
    <row r="38" spans="1:7" x14ac:dyDescent="0.25">
      <c r="A38">
        <v>0.17166550227935495</v>
      </c>
      <c r="B38">
        <v>0.63614577295022134</v>
      </c>
      <c r="C38">
        <v>0.42108065795554683</v>
      </c>
      <c r="D38">
        <f t="shared" si="0"/>
        <v>6.0082925797774234</v>
      </c>
      <c r="E38">
        <f t="shared" si="1"/>
        <v>22.265102053257745</v>
      </c>
      <c r="F38">
        <f t="shared" si="2"/>
        <v>3</v>
      </c>
      <c r="G38" t="str">
        <f t="shared" si="3"/>
        <v>УДОВЛЕТВОРИТЕЛЬНО</v>
      </c>
    </row>
    <row r="39" spans="1:7" x14ac:dyDescent="0.25">
      <c r="A39">
        <v>0.83980676547582167</v>
      </c>
      <c r="B39">
        <v>0.53226602870105899</v>
      </c>
      <c r="C39">
        <v>0.62448971308223822</v>
      </c>
      <c r="D39">
        <f t="shared" si="0"/>
        <v>29.393236791653759</v>
      </c>
      <c r="E39">
        <f t="shared" si="1"/>
        <v>18.629311004537065</v>
      </c>
      <c r="F39">
        <f t="shared" si="2"/>
        <v>4</v>
      </c>
      <c r="G39" t="str">
        <f t="shared" si="3"/>
        <v>ХОРОШО</v>
      </c>
    </row>
    <row r="40" spans="1:7" x14ac:dyDescent="0.25">
      <c r="A40">
        <v>0.99660295783850072</v>
      </c>
      <c r="B40">
        <v>0.2443496994711476</v>
      </c>
      <c r="C40">
        <v>0.29724292525054707</v>
      </c>
      <c r="D40">
        <f t="shared" si="0"/>
        <v>34.881103524347523</v>
      </c>
      <c r="E40">
        <f t="shared" si="1"/>
        <v>-8.5522394814901652</v>
      </c>
      <c r="F40">
        <f t="shared" si="2"/>
        <v>3</v>
      </c>
      <c r="G40" t="str">
        <f t="shared" si="3"/>
        <v>УДОВЛЕТВОРИТЕЛЬНО</v>
      </c>
    </row>
    <row r="41" spans="1:7" x14ac:dyDescent="0.25">
      <c r="A41">
        <v>0.9754365979975903</v>
      </c>
      <c r="B41">
        <v>0.57367126353193054</v>
      </c>
      <c r="C41">
        <v>0.13045982977474346</v>
      </c>
      <c r="D41">
        <f t="shared" si="0"/>
        <v>34.140280929915662</v>
      </c>
      <c r="E41">
        <f t="shared" si="1"/>
        <v>20.078494223617568</v>
      </c>
      <c r="F41">
        <f t="shared" si="2"/>
        <v>2</v>
      </c>
      <c r="G41" t="str">
        <f t="shared" si="3"/>
        <v>ПЛОХО</v>
      </c>
    </row>
    <row r="42" spans="1:7" x14ac:dyDescent="0.25">
      <c r="A42">
        <v>0.85443205957991708</v>
      </c>
      <c r="B42">
        <v>0.26605562928805804</v>
      </c>
      <c r="C42">
        <v>0.93925333550868206</v>
      </c>
      <c r="D42">
        <f t="shared" si="0"/>
        <v>29.905122085297098</v>
      </c>
      <c r="E42">
        <f t="shared" si="1"/>
        <v>-9.3119470250820306</v>
      </c>
      <c r="F42">
        <f t="shared" si="2"/>
        <v>5</v>
      </c>
      <c r="G42" t="str">
        <f t="shared" si="3"/>
        <v>ОТЛИЧНО</v>
      </c>
    </row>
    <row r="43" spans="1:7" x14ac:dyDescent="0.25">
      <c r="A43">
        <v>0.44148199422534029</v>
      </c>
      <c r="B43">
        <v>0.57060566173823379</v>
      </c>
      <c r="C43">
        <v>0.7192566325353662</v>
      </c>
      <c r="D43">
        <f t="shared" si="0"/>
        <v>15.451869797886911</v>
      </c>
      <c r="E43">
        <f t="shared" si="1"/>
        <v>19.971198160838181</v>
      </c>
      <c r="F43">
        <f t="shared" si="2"/>
        <v>4</v>
      </c>
      <c r="G43" t="str">
        <f t="shared" si="3"/>
        <v>ХОРОШО</v>
      </c>
    </row>
    <row r="44" spans="1:7" x14ac:dyDescent="0.25">
      <c r="A44">
        <v>0.58493959049166322</v>
      </c>
      <c r="B44">
        <v>0.69196353485416928</v>
      </c>
      <c r="C44">
        <v>0.56227145531329281</v>
      </c>
      <c r="D44">
        <f t="shared" si="0"/>
        <v>20.472885667208214</v>
      </c>
      <c r="E44">
        <f t="shared" si="1"/>
        <v>24.218723719895927</v>
      </c>
      <c r="F44">
        <f t="shared" si="2"/>
        <v>4</v>
      </c>
      <c r="G44" t="str">
        <f t="shared" si="3"/>
        <v>ХОРОШО</v>
      </c>
    </row>
    <row r="45" spans="1:7" x14ac:dyDescent="0.25">
      <c r="A45">
        <v>0.49609134979040803</v>
      </c>
      <c r="B45">
        <v>0.61435741910558783</v>
      </c>
      <c r="C45">
        <v>0.43853607144695372</v>
      </c>
      <c r="D45">
        <f t="shared" si="0"/>
        <v>17.363197242664281</v>
      </c>
      <c r="E45">
        <f t="shared" si="1"/>
        <v>21.502509668695573</v>
      </c>
      <c r="F45">
        <f t="shared" si="2"/>
        <v>3</v>
      </c>
      <c r="G45" t="str">
        <f t="shared" si="3"/>
        <v>УДОВЛЕТВОРИТЕЛЬНО</v>
      </c>
    </row>
    <row r="46" spans="1:7" x14ac:dyDescent="0.25">
      <c r="A46">
        <v>0.10621877976204974</v>
      </c>
      <c r="B46">
        <v>0.72576708489064679</v>
      </c>
      <c r="C46">
        <v>0.89237885951127027</v>
      </c>
      <c r="D46">
        <f t="shared" si="0"/>
        <v>3.717657291671741</v>
      </c>
      <c r="E46">
        <f t="shared" si="1"/>
        <v>25.401847971172636</v>
      </c>
      <c r="F46">
        <f t="shared" si="2"/>
        <v>5</v>
      </c>
      <c r="G46" t="str">
        <f t="shared" si="3"/>
        <v>ОТЛИЧНО</v>
      </c>
    </row>
    <row r="47" spans="1:7" x14ac:dyDescent="0.25">
      <c r="A47">
        <v>0.7303829029990796</v>
      </c>
      <c r="B47">
        <v>0.1298161733201848</v>
      </c>
      <c r="C47">
        <v>6.7827486057101538E-2</v>
      </c>
      <c r="D47">
        <f t="shared" si="0"/>
        <v>25.563401604967787</v>
      </c>
      <c r="E47">
        <f t="shared" si="1"/>
        <v>-4.5435660662064681</v>
      </c>
      <c r="F47">
        <f t="shared" si="2"/>
        <v>2</v>
      </c>
      <c r="G47" t="str">
        <f t="shared" si="3"/>
        <v>ПЛОХО</v>
      </c>
    </row>
    <row r="48" spans="1:7" x14ac:dyDescent="0.25">
      <c r="A48">
        <v>0.57036009968831003</v>
      </c>
      <c r="B48">
        <v>0.83314348385245007</v>
      </c>
      <c r="C48">
        <v>0.72972538125198505</v>
      </c>
      <c r="D48">
        <f t="shared" si="0"/>
        <v>19.962603489090853</v>
      </c>
      <c r="E48">
        <f t="shared" si="1"/>
        <v>29.160021934835754</v>
      </c>
      <c r="F48">
        <f t="shared" si="2"/>
        <v>4</v>
      </c>
      <c r="G48" t="str">
        <f t="shared" si="3"/>
        <v>ХОРОШО</v>
      </c>
    </row>
    <row r="49" spans="1:7" x14ac:dyDescent="0.25">
      <c r="A49">
        <v>0.71417895433774792</v>
      </c>
      <c r="B49">
        <v>9.4318108205900586E-2</v>
      </c>
      <c r="C49">
        <v>8.5665967461320491E-2</v>
      </c>
      <c r="D49">
        <f t="shared" si="0"/>
        <v>24.996263401821178</v>
      </c>
      <c r="E49">
        <f t="shared" si="1"/>
        <v>-3.3011337872065205</v>
      </c>
      <c r="F49">
        <f t="shared" si="2"/>
        <v>2</v>
      </c>
      <c r="G49" t="str">
        <f t="shared" si="3"/>
        <v>ПЛОХО</v>
      </c>
    </row>
    <row r="50" spans="1:7" x14ac:dyDescent="0.25">
      <c r="A50">
        <v>0.63163355922033415</v>
      </c>
      <c r="B50">
        <v>0.46429907827673245</v>
      </c>
      <c r="C50">
        <v>0.2737612931415514</v>
      </c>
      <c r="D50">
        <f t="shared" si="0"/>
        <v>22.107174572711696</v>
      </c>
      <c r="E50">
        <f t="shared" si="1"/>
        <v>-16.250467739685636</v>
      </c>
      <c r="F50">
        <f t="shared" si="2"/>
        <v>3</v>
      </c>
      <c r="G50" t="str">
        <f t="shared" si="3"/>
        <v>УДОВЛЕТВОРИТЕЛЬНО</v>
      </c>
    </row>
    <row r="51" spans="1:7" x14ac:dyDescent="0.25">
      <c r="A51">
        <v>0.29550555339902917</v>
      </c>
      <c r="B51">
        <v>0.30501681483819532</v>
      </c>
      <c r="C51">
        <v>3.1931559093083539E-3</v>
      </c>
      <c r="D51">
        <f t="shared" si="0"/>
        <v>10.342694368966022</v>
      </c>
      <c r="E51">
        <f t="shared" si="1"/>
        <v>-10.675588519336836</v>
      </c>
      <c r="F51">
        <f t="shared" si="2"/>
        <v>2</v>
      </c>
      <c r="G51" t="str">
        <f t="shared" si="3"/>
        <v>ПЛОХО</v>
      </c>
    </row>
  </sheetData>
  <mergeCells count="1">
    <mergeCell ref="H1:K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0"/>
  <sheetViews>
    <sheetView workbookViewId="0"/>
  </sheetViews>
  <sheetFormatPr defaultRowHeight="15" x14ac:dyDescent="0.25"/>
  <sheetData>
    <row r="1" spans="1:1" x14ac:dyDescent="0.25">
      <c r="A1">
        <f ca="1">NORMINV(RAND(), 22, 1.25)</f>
        <v>20.279477480857995</v>
      </c>
    </row>
    <row r="2" spans="1:1" x14ac:dyDescent="0.25">
      <c r="A2">
        <f t="shared" ref="A2:A65" ca="1" si="0">NORMINV(RAND(), 22, 1.25)</f>
        <v>24.03040722620193</v>
      </c>
    </row>
    <row r="3" spans="1:1" x14ac:dyDescent="0.25">
      <c r="A3">
        <f t="shared" ca="1" si="0"/>
        <v>19.757344980013567</v>
      </c>
    </row>
    <row r="4" spans="1:1" x14ac:dyDescent="0.25">
      <c r="A4">
        <f t="shared" ca="1" si="0"/>
        <v>25.094582092888164</v>
      </c>
    </row>
    <row r="5" spans="1:1" x14ac:dyDescent="0.25">
      <c r="A5">
        <f t="shared" ca="1" si="0"/>
        <v>21.622266731978048</v>
      </c>
    </row>
    <row r="6" spans="1:1" x14ac:dyDescent="0.25">
      <c r="A6">
        <f t="shared" ca="1" si="0"/>
        <v>22.067590166378384</v>
      </c>
    </row>
    <row r="7" spans="1:1" x14ac:dyDescent="0.25">
      <c r="A7">
        <f t="shared" ca="1" si="0"/>
        <v>20.39213229227385</v>
      </c>
    </row>
    <row r="8" spans="1:1" x14ac:dyDescent="0.25">
      <c r="A8">
        <f t="shared" ca="1" si="0"/>
        <v>22.138872943588545</v>
      </c>
    </row>
    <row r="9" spans="1:1" x14ac:dyDescent="0.25">
      <c r="A9">
        <f t="shared" ca="1" si="0"/>
        <v>21.326930285950649</v>
      </c>
    </row>
    <row r="10" spans="1:1" x14ac:dyDescent="0.25">
      <c r="A10">
        <f t="shared" ca="1" si="0"/>
        <v>21.524725521633261</v>
      </c>
    </row>
    <row r="11" spans="1:1" x14ac:dyDescent="0.25">
      <c r="A11">
        <f t="shared" ca="1" si="0"/>
        <v>22.512089623883853</v>
      </c>
    </row>
    <row r="12" spans="1:1" x14ac:dyDescent="0.25">
      <c r="A12">
        <f t="shared" ca="1" si="0"/>
        <v>22.774137410937946</v>
      </c>
    </row>
    <row r="13" spans="1:1" x14ac:dyDescent="0.25">
      <c r="A13">
        <f t="shared" ca="1" si="0"/>
        <v>22.338668092942836</v>
      </c>
    </row>
    <row r="14" spans="1:1" x14ac:dyDescent="0.25">
      <c r="A14">
        <f t="shared" ca="1" si="0"/>
        <v>21.860696904501928</v>
      </c>
    </row>
    <row r="15" spans="1:1" x14ac:dyDescent="0.25">
      <c r="A15">
        <f t="shared" ca="1" si="0"/>
        <v>22.822132158449548</v>
      </c>
    </row>
    <row r="16" spans="1:1" x14ac:dyDescent="0.25">
      <c r="A16">
        <f t="shared" ca="1" si="0"/>
        <v>24.072836806610166</v>
      </c>
    </row>
    <row r="17" spans="1:1" x14ac:dyDescent="0.25">
      <c r="A17">
        <f t="shared" ca="1" si="0"/>
        <v>22.15411708955601</v>
      </c>
    </row>
    <row r="18" spans="1:1" x14ac:dyDescent="0.25">
      <c r="A18">
        <f t="shared" ca="1" si="0"/>
        <v>21.327438328627743</v>
      </c>
    </row>
    <row r="19" spans="1:1" x14ac:dyDescent="0.25">
      <c r="A19">
        <f t="shared" ca="1" si="0"/>
        <v>23.441715773968603</v>
      </c>
    </row>
    <row r="20" spans="1:1" x14ac:dyDescent="0.25">
      <c r="A20">
        <f t="shared" ca="1" si="0"/>
        <v>21.813136196353167</v>
      </c>
    </row>
    <row r="21" spans="1:1" x14ac:dyDescent="0.25">
      <c r="A21">
        <f t="shared" ca="1" si="0"/>
        <v>22.732386173333794</v>
      </c>
    </row>
    <row r="22" spans="1:1" x14ac:dyDescent="0.25">
      <c r="A22">
        <f t="shared" ca="1" si="0"/>
        <v>22.081987986209317</v>
      </c>
    </row>
    <row r="23" spans="1:1" x14ac:dyDescent="0.25">
      <c r="A23">
        <f t="shared" ca="1" si="0"/>
        <v>21.686233094827482</v>
      </c>
    </row>
    <row r="24" spans="1:1" x14ac:dyDescent="0.25">
      <c r="A24">
        <f t="shared" ca="1" si="0"/>
        <v>20.987246948386954</v>
      </c>
    </row>
    <row r="25" spans="1:1" x14ac:dyDescent="0.25">
      <c r="A25">
        <f t="shared" ca="1" si="0"/>
        <v>20.97638272365316</v>
      </c>
    </row>
    <row r="26" spans="1:1" x14ac:dyDescent="0.25">
      <c r="A26">
        <f t="shared" ca="1" si="0"/>
        <v>21.744369116986057</v>
      </c>
    </row>
    <row r="27" spans="1:1" x14ac:dyDescent="0.25">
      <c r="A27">
        <f t="shared" ca="1" si="0"/>
        <v>22.804615356860648</v>
      </c>
    </row>
    <row r="28" spans="1:1" x14ac:dyDescent="0.25">
      <c r="A28">
        <f t="shared" ca="1" si="0"/>
        <v>21.383898305742669</v>
      </c>
    </row>
    <row r="29" spans="1:1" x14ac:dyDescent="0.25">
      <c r="A29">
        <f t="shared" ca="1" si="0"/>
        <v>22.180215603352824</v>
      </c>
    </row>
    <row r="30" spans="1:1" x14ac:dyDescent="0.25">
      <c r="A30">
        <f t="shared" ca="1" si="0"/>
        <v>21.980469854099194</v>
      </c>
    </row>
    <row r="31" spans="1:1" x14ac:dyDescent="0.25">
      <c r="A31">
        <f t="shared" ca="1" si="0"/>
        <v>21.298121182443687</v>
      </c>
    </row>
    <row r="32" spans="1:1" x14ac:dyDescent="0.25">
      <c r="A32">
        <f t="shared" ca="1" si="0"/>
        <v>22.334821374755855</v>
      </c>
    </row>
    <row r="33" spans="1:1" x14ac:dyDescent="0.25">
      <c r="A33">
        <f t="shared" ca="1" si="0"/>
        <v>20.509644339547048</v>
      </c>
    </row>
    <row r="34" spans="1:1" x14ac:dyDescent="0.25">
      <c r="A34">
        <f t="shared" ca="1" si="0"/>
        <v>21.439320188701753</v>
      </c>
    </row>
    <row r="35" spans="1:1" x14ac:dyDescent="0.25">
      <c r="A35">
        <f t="shared" ca="1" si="0"/>
        <v>22.868427997048585</v>
      </c>
    </row>
    <row r="36" spans="1:1" x14ac:dyDescent="0.25">
      <c r="A36">
        <f t="shared" ca="1" si="0"/>
        <v>23.502847299508687</v>
      </c>
    </row>
    <row r="37" spans="1:1" x14ac:dyDescent="0.25">
      <c r="A37">
        <f t="shared" ca="1" si="0"/>
        <v>22.914546128562751</v>
      </c>
    </row>
    <row r="38" spans="1:1" x14ac:dyDescent="0.25">
      <c r="A38">
        <f t="shared" ca="1" si="0"/>
        <v>23.010802690087875</v>
      </c>
    </row>
    <row r="39" spans="1:1" x14ac:dyDescent="0.25">
      <c r="A39">
        <f t="shared" ca="1" si="0"/>
        <v>25.285085860075966</v>
      </c>
    </row>
    <row r="40" spans="1:1" x14ac:dyDescent="0.25">
      <c r="A40">
        <f t="shared" ca="1" si="0"/>
        <v>20.825970259858643</v>
      </c>
    </row>
    <row r="41" spans="1:1" x14ac:dyDescent="0.25">
      <c r="A41">
        <f t="shared" ca="1" si="0"/>
        <v>22.877130055199132</v>
      </c>
    </row>
    <row r="42" spans="1:1" x14ac:dyDescent="0.25">
      <c r="A42">
        <f t="shared" ca="1" si="0"/>
        <v>21.965845674386415</v>
      </c>
    </row>
    <row r="43" spans="1:1" x14ac:dyDescent="0.25">
      <c r="A43">
        <f t="shared" ca="1" si="0"/>
        <v>19.320316480341255</v>
      </c>
    </row>
    <row r="44" spans="1:1" x14ac:dyDescent="0.25">
      <c r="A44">
        <f t="shared" ca="1" si="0"/>
        <v>22.459377888465934</v>
      </c>
    </row>
    <row r="45" spans="1:1" x14ac:dyDescent="0.25">
      <c r="A45">
        <f t="shared" ca="1" si="0"/>
        <v>20.833873370011176</v>
      </c>
    </row>
    <row r="46" spans="1:1" x14ac:dyDescent="0.25">
      <c r="A46">
        <f t="shared" ca="1" si="0"/>
        <v>23.111255333416352</v>
      </c>
    </row>
    <row r="47" spans="1:1" x14ac:dyDescent="0.25">
      <c r="A47">
        <f t="shared" ca="1" si="0"/>
        <v>23.012446484118716</v>
      </c>
    </row>
    <row r="48" spans="1:1" x14ac:dyDescent="0.25">
      <c r="A48">
        <f t="shared" ca="1" si="0"/>
        <v>21.362025606119712</v>
      </c>
    </row>
    <row r="49" spans="1:1" x14ac:dyDescent="0.25">
      <c r="A49">
        <f t="shared" ca="1" si="0"/>
        <v>22.452738729914209</v>
      </c>
    </row>
    <row r="50" spans="1:1" x14ac:dyDescent="0.25">
      <c r="A50">
        <f t="shared" ca="1" si="0"/>
        <v>25.620533973089874</v>
      </c>
    </row>
    <row r="51" spans="1:1" x14ac:dyDescent="0.25">
      <c r="A51">
        <f t="shared" ca="1" si="0"/>
        <v>20.253987088097887</v>
      </c>
    </row>
    <row r="52" spans="1:1" x14ac:dyDescent="0.25">
      <c r="A52">
        <f t="shared" ca="1" si="0"/>
        <v>23.608917328909548</v>
      </c>
    </row>
    <row r="53" spans="1:1" x14ac:dyDescent="0.25">
      <c r="A53">
        <f t="shared" ca="1" si="0"/>
        <v>22.8831236634033</v>
      </c>
    </row>
    <row r="54" spans="1:1" x14ac:dyDescent="0.25">
      <c r="A54">
        <f t="shared" ca="1" si="0"/>
        <v>22.774521881857559</v>
      </c>
    </row>
    <row r="55" spans="1:1" x14ac:dyDescent="0.25">
      <c r="A55">
        <f t="shared" ca="1" si="0"/>
        <v>24.97143684247915</v>
      </c>
    </row>
    <row r="56" spans="1:1" x14ac:dyDescent="0.25">
      <c r="A56">
        <f t="shared" ca="1" si="0"/>
        <v>21.222532711865753</v>
      </c>
    </row>
    <row r="57" spans="1:1" x14ac:dyDescent="0.25">
      <c r="A57">
        <f t="shared" ca="1" si="0"/>
        <v>19.159852120224308</v>
      </c>
    </row>
    <row r="58" spans="1:1" x14ac:dyDescent="0.25">
      <c r="A58">
        <f t="shared" ca="1" si="0"/>
        <v>22.005468211102698</v>
      </c>
    </row>
    <row r="59" spans="1:1" x14ac:dyDescent="0.25">
      <c r="A59">
        <f t="shared" ca="1" si="0"/>
        <v>20.279630237149465</v>
      </c>
    </row>
    <row r="60" spans="1:1" x14ac:dyDescent="0.25">
      <c r="A60">
        <f t="shared" ca="1" si="0"/>
        <v>20.892264946443813</v>
      </c>
    </row>
    <row r="61" spans="1:1" x14ac:dyDescent="0.25">
      <c r="A61">
        <f t="shared" ca="1" si="0"/>
        <v>21.966539472116505</v>
      </c>
    </row>
    <row r="62" spans="1:1" x14ac:dyDescent="0.25">
      <c r="A62">
        <f t="shared" ca="1" si="0"/>
        <v>22.079128938678547</v>
      </c>
    </row>
    <row r="63" spans="1:1" x14ac:dyDescent="0.25">
      <c r="A63">
        <f t="shared" ca="1" si="0"/>
        <v>22.415437962318354</v>
      </c>
    </row>
    <row r="64" spans="1:1" x14ac:dyDescent="0.25">
      <c r="A64">
        <f t="shared" ca="1" si="0"/>
        <v>22.980134095135341</v>
      </c>
    </row>
    <row r="65" spans="1:1" x14ac:dyDescent="0.25">
      <c r="A65">
        <f t="shared" ca="1" si="0"/>
        <v>21.787178519092333</v>
      </c>
    </row>
    <row r="66" spans="1:1" x14ac:dyDescent="0.25">
      <c r="A66">
        <f t="shared" ref="A66:A129" ca="1" si="1">NORMINV(RAND(), 22, 1.25)</f>
        <v>21.346498279760745</v>
      </c>
    </row>
    <row r="67" spans="1:1" x14ac:dyDescent="0.25">
      <c r="A67">
        <f t="shared" ca="1" si="1"/>
        <v>22.189854145987802</v>
      </c>
    </row>
    <row r="68" spans="1:1" x14ac:dyDescent="0.25">
      <c r="A68">
        <f t="shared" ca="1" si="1"/>
        <v>22.814914293083472</v>
      </c>
    </row>
    <row r="69" spans="1:1" x14ac:dyDescent="0.25">
      <c r="A69">
        <f t="shared" ca="1" si="1"/>
        <v>20.932065864101126</v>
      </c>
    </row>
    <row r="70" spans="1:1" x14ac:dyDescent="0.25">
      <c r="A70">
        <f t="shared" ca="1" si="1"/>
        <v>22.093095280265093</v>
      </c>
    </row>
    <row r="71" spans="1:1" x14ac:dyDescent="0.25">
      <c r="A71">
        <f t="shared" ca="1" si="1"/>
        <v>22.055844423589203</v>
      </c>
    </row>
    <row r="72" spans="1:1" x14ac:dyDescent="0.25">
      <c r="A72">
        <f t="shared" ca="1" si="1"/>
        <v>21.763012499840801</v>
      </c>
    </row>
    <row r="73" spans="1:1" x14ac:dyDescent="0.25">
      <c r="A73">
        <f t="shared" ca="1" si="1"/>
        <v>22.21687356202694</v>
      </c>
    </row>
    <row r="74" spans="1:1" x14ac:dyDescent="0.25">
      <c r="A74">
        <f t="shared" ca="1" si="1"/>
        <v>23.556286933611602</v>
      </c>
    </row>
    <row r="75" spans="1:1" x14ac:dyDescent="0.25">
      <c r="A75">
        <f t="shared" ca="1" si="1"/>
        <v>21.20945123789657</v>
      </c>
    </row>
    <row r="76" spans="1:1" x14ac:dyDescent="0.25">
      <c r="A76">
        <f t="shared" ca="1" si="1"/>
        <v>23.166169574565963</v>
      </c>
    </row>
    <row r="77" spans="1:1" x14ac:dyDescent="0.25">
      <c r="A77">
        <f t="shared" ca="1" si="1"/>
        <v>23.015619924941568</v>
      </c>
    </row>
    <row r="78" spans="1:1" x14ac:dyDescent="0.25">
      <c r="A78">
        <f t="shared" ca="1" si="1"/>
        <v>22.321573200490416</v>
      </c>
    </row>
    <row r="79" spans="1:1" x14ac:dyDescent="0.25">
      <c r="A79">
        <f t="shared" ca="1" si="1"/>
        <v>22.219296233923917</v>
      </c>
    </row>
    <row r="80" spans="1:1" x14ac:dyDescent="0.25">
      <c r="A80">
        <f t="shared" ca="1" si="1"/>
        <v>22.154008331693973</v>
      </c>
    </row>
    <row r="81" spans="1:1" x14ac:dyDescent="0.25">
      <c r="A81">
        <f t="shared" ca="1" si="1"/>
        <v>22.555252214583884</v>
      </c>
    </row>
    <row r="82" spans="1:1" x14ac:dyDescent="0.25">
      <c r="A82">
        <f t="shared" ca="1" si="1"/>
        <v>20.798202928013222</v>
      </c>
    </row>
    <row r="83" spans="1:1" x14ac:dyDescent="0.25">
      <c r="A83">
        <f t="shared" ca="1" si="1"/>
        <v>18.814892141191827</v>
      </c>
    </row>
    <row r="84" spans="1:1" x14ac:dyDescent="0.25">
      <c r="A84">
        <f t="shared" ca="1" si="1"/>
        <v>24.501243887407629</v>
      </c>
    </row>
    <row r="85" spans="1:1" x14ac:dyDescent="0.25">
      <c r="A85">
        <f t="shared" ca="1" si="1"/>
        <v>22.70714750251723</v>
      </c>
    </row>
    <row r="86" spans="1:1" x14ac:dyDescent="0.25">
      <c r="A86">
        <f t="shared" ca="1" si="1"/>
        <v>22.444662271326152</v>
      </c>
    </row>
    <row r="87" spans="1:1" x14ac:dyDescent="0.25">
      <c r="A87">
        <f t="shared" ca="1" si="1"/>
        <v>20.423145436049925</v>
      </c>
    </row>
    <row r="88" spans="1:1" x14ac:dyDescent="0.25">
      <c r="A88">
        <f t="shared" ca="1" si="1"/>
        <v>21.015920663897653</v>
      </c>
    </row>
    <row r="89" spans="1:1" x14ac:dyDescent="0.25">
      <c r="A89">
        <f t="shared" ca="1" si="1"/>
        <v>22.734136481630415</v>
      </c>
    </row>
    <row r="90" spans="1:1" x14ac:dyDescent="0.25">
      <c r="A90">
        <f t="shared" ca="1" si="1"/>
        <v>21.642741385454769</v>
      </c>
    </row>
    <row r="91" spans="1:1" x14ac:dyDescent="0.25">
      <c r="A91">
        <f t="shared" ca="1" si="1"/>
        <v>22.576021919129222</v>
      </c>
    </row>
    <row r="92" spans="1:1" x14ac:dyDescent="0.25">
      <c r="A92">
        <f t="shared" ca="1" si="1"/>
        <v>22.272397334186781</v>
      </c>
    </row>
    <row r="93" spans="1:1" x14ac:dyDescent="0.25">
      <c r="A93">
        <f t="shared" ca="1" si="1"/>
        <v>23.579155396527213</v>
      </c>
    </row>
    <row r="94" spans="1:1" x14ac:dyDescent="0.25">
      <c r="A94">
        <f t="shared" ca="1" si="1"/>
        <v>20.814441105366349</v>
      </c>
    </row>
    <row r="95" spans="1:1" x14ac:dyDescent="0.25">
      <c r="A95">
        <f t="shared" ca="1" si="1"/>
        <v>22.054954656217035</v>
      </c>
    </row>
    <row r="96" spans="1:1" x14ac:dyDescent="0.25">
      <c r="A96">
        <f t="shared" ca="1" si="1"/>
        <v>23.219315094944101</v>
      </c>
    </row>
    <row r="97" spans="1:1" x14ac:dyDescent="0.25">
      <c r="A97">
        <f t="shared" ca="1" si="1"/>
        <v>22.977692417288825</v>
      </c>
    </row>
    <row r="98" spans="1:1" x14ac:dyDescent="0.25">
      <c r="A98">
        <f t="shared" ca="1" si="1"/>
        <v>22.341128882858317</v>
      </c>
    </row>
    <row r="99" spans="1:1" x14ac:dyDescent="0.25">
      <c r="A99">
        <f t="shared" ca="1" si="1"/>
        <v>21.699633020939938</v>
      </c>
    </row>
    <row r="100" spans="1:1" x14ac:dyDescent="0.25">
      <c r="A100">
        <f t="shared" ca="1" si="1"/>
        <v>21.864598520514082</v>
      </c>
    </row>
    <row r="101" spans="1:1" x14ac:dyDescent="0.25">
      <c r="A101">
        <f t="shared" ca="1" si="1"/>
        <v>22.500851911885562</v>
      </c>
    </row>
    <row r="102" spans="1:1" x14ac:dyDescent="0.25">
      <c r="A102">
        <f t="shared" ca="1" si="1"/>
        <v>20.612145376212219</v>
      </c>
    </row>
    <row r="103" spans="1:1" x14ac:dyDescent="0.25">
      <c r="A103">
        <f t="shared" ca="1" si="1"/>
        <v>22.377143260843102</v>
      </c>
    </row>
    <row r="104" spans="1:1" x14ac:dyDescent="0.25">
      <c r="A104">
        <f t="shared" ca="1" si="1"/>
        <v>20.454204366958404</v>
      </c>
    </row>
    <row r="105" spans="1:1" x14ac:dyDescent="0.25">
      <c r="A105">
        <f t="shared" ca="1" si="1"/>
        <v>20.990011941493371</v>
      </c>
    </row>
    <row r="106" spans="1:1" x14ac:dyDescent="0.25">
      <c r="A106">
        <f t="shared" ca="1" si="1"/>
        <v>22.227143735910591</v>
      </c>
    </row>
    <row r="107" spans="1:1" x14ac:dyDescent="0.25">
      <c r="A107">
        <f t="shared" ca="1" si="1"/>
        <v>23.985872871732916</v>
      </c>
    </row>
    <row r="108" spans="1:1" x14ac:dyDescent="0.25">
      <c r="A108">
        <f t="shared" ca="1" si="1"/>
        <v>20.406258797353864</v>
      </c>
    </row>
    <row r="109" spans="1:1" x14ac:dyDescent="0.25">
      <c r="A109">
        <f t="shared" ca="1" si="1"/>
        <v>22.848682309161656</v>
      </c>
    </row>
    <row r="110" spans="1:1" x14ac:dyDescent="0.25">
      <c r="A110">
        <f t="shared" ca="1" si="1"/>
        <v>19.547074871053606</v>
      </c>
    </row>
    <row r="111" spans="1:1" x14ac:dyDescent="0.25">
      <c r="A111">
        <f t="shared" ca="1" si="1"/>
        <v>24.382720375362769</v>
      </c>
    </row>
    <row r="112" spans="1:1" x14ac:dyDescent="0.25">
      <c r="A112">
        <f t="shared" ca="1" si="1"/>
        <v>20.994597713082662</v>
      </c>
    </row>
    <row r="113" spans="1:1" x14ac:dyDescent="0.25">
      <c r="A113">
        <f t="shared" ca="1" si="1"/>
        <v>23.985811289064948</v>
      </c>
    </row>
    <row r="114" spans="1:1" x14ac:dyDescent="0.25">
      <c r="A114">
        <f t="shared" ca="1" si="1"/>
        <v>19.825922137033803</v>
      </c>
    </row>
    <row r="115" spans="1:1" x14ac:dyDescent="0.25">
      <c r="A115">
        <f t="shared" ca="1" si="1"/>
        <v>19.595032989552003</v>
      </c>
    </row>
    <row r="116" spans="1:1" x14ac:dyDescent="0.25">
      <c r="A116">
        <f t="shared" ca="1" si="1"/>
        <v>22.129545729707459</v>
      </c>
    </row>
    <row r="117" spans="1:1" x14ac:dyDescent="0.25">
      <c r="A117">
        <f t="shared" ca="1" si="1"/>
        <v>21.371501279884203</v>
      </c>
    </row>
    <row r="118" spans="1:1" x14ac:dyDescent="0.25">
      <c r="A118">
        <f t="shared" ca="1" si="1"/>
        <v>22.236153602126343</v>
      </c>
    </row>
    <row r="119" spans="1:1" x14ac:dyDescent="0.25">
      <c r="A119">
        <f t="shared" ca="1" si="1"/>
        <v>22.195669072313862</v>
      </c>
    </row>
    <row r="120" spans="1:1" x14ac:dyDescent="0.25">
      <c r="A120">
        <f t="shared" ca="1" si="1"/>
        <v>23.878969449435967</v>
      </c>
    </row>
    <row r="121" spans="1:1" x14ac:dyDescent="0.25">
      <c r="A121">
        <f t="shared" ca="1" si="1"/>
        <v>22.085535370743912</v>
      </c>
    </row>
    <row r="122" spans="1:1" x14ac:dyDescent="0.25">
      <c r="A122">
        <f t="shared" ca="1" si="1"/>
        <v>21.544011270032584</v>
      </c>
    </row>
    <row r="123" spans="1:1" x14ac:dyDescent="0.25">
      <c r="A123">
        <f t="shared" ca="1" si="1"/>
        <v>20.073566024314882</v>
      </c>
    </row>
    <row r="124" spans="1:1" x14ac:dyDescent="0.25">
      <c r="A124">
        <f t="shared" ca="1" si="1"/>
        <v>23.471832037970529</v>
      </c>
    </row>
    <row r="125" spans="1:1" x14ac:dyDescent="0.25">
      <c r="A125">
        <f t="shared" ca="1" si="1"/>
        <v>23.435094510474784</v>
      </c>
    </row>
    <row r="126" spans="1:1" x14ac:dyDescent="0.25">
      <c r="A126">
        <f t="shared" ca="1" si="1"/>
        <v>22.239202917412278</v>
      </c>
    </row>
    <row r="127" spans="1:1" x14ac:dyDescent="0.25">
      <c r="A127">
        <f t="shared" ca="1" si="1"/>
        <v>19.070252002743047</v>
      </c>
    </row>
    <row r="128" spans="1:1" x14ac:dyDescent="0.25">
      <c r="A128">
        <f t="shared" ca="1" si="1"/>
        <v>23.748213702639546</v>
      </c>
    </row>
    <row r="129" spans="1:1" x14ac:dyDescent="0.25">
      <c r="A129">
        <f t="shared" ca="1" si="1"/>
        <v>22.596177450955267</v>
      </c>
    </row>
    <row r="130" spans="1:1" x14ac:dyDescent="0.25">
      <c r="A130">
        <f t="shared" ref="A130:A193" ca="1" si="2">NORMINV(RAND(), 22, 1.25)</f>
        <v>22.189061074925881</v>
      </c>
    </row>
    <row r="131" spans="1:1" x14ac:dyDescent="0.25">
      <c r="A131">
        <f t="shared" ca="1" si="2"/>
        <v>20.343922186935551</v>
      </c>
    </row>
    <row r="132" spans="1:1" x14ac:dyDescent="0.25">
      <c r="A132">
        <f t="shared" ca="1" si="2"/>
        <v>25.402109666896944</v>
      </c>
    </row>
    <row r="133" spans="1:1" x14ac:dyDescent="0.25">
      <c r="A133">
        <f t="shared" ca="1" si="2"/>
        <v>21.310517952799799</v>
      </c>
    </row>
    <row r="134" spans="1:1" x14ac:dyDescent="0.25">
      <c r="A134">
        <f t="shared" ca="1" si="2"/>
        <v>19.967995747174776</v>
      </c>
    </row>
    <row r="135" spans="1:1" x14ac:dyDescent="0.25">
      <c r="A135">
        <f t="shared" ca="1" si="2"/>
        <v>19.004945588574309</v>
      </c>
    </row>
    <row r="136" spans="1:1" x14ac:dyDescent="0.25">
      <c r="A136">
        <f t="shared" ca="1" si="2"/>
        <v>21.920771647219915</v>
      </c>
    </row>
    <row r="137" spans="1:1" x14ac:dyDescent="0.25">
      <c r="A137">
        <f t="shared" ca="1" si="2"/>
        <v>22.885235433600702</v>
      </c>
    </row>
    <row r="138" spans="1:1" x14ac:dyDescent="0.25">
      <c r="A138">
        <f t="shared" ca="1" si="2"/>
        <v>23.598403398897752</v>
      </c>
    </row>
    <row r="139" spans="1:1" x14ac:dyDescent="0.25">
      <c r="A139">
        <f t="shared" ca="1" si="2"/>
        <v>19.822040839570047</v>
      </c>
    </row>
    <row r="140" spans="1:1" x14ac:dyDescent="0.25">
      <c r="A140">
        <f t="shared" ca="1" si="2"/>
        <v>24.045075272099393</v>
      </c>
    </row>
    <row r="141" spans="1:1" x14ac:dyDescent="0.25">
      <c r="A141">
        <f t="shared" ca="1" si="2"/>
        <v>20.561815463710328</v>
      </c>
    </row>
    <row r="142" spans="1:1" x14ac:dyDescent="0.25">
      <c r="A142">
        <f t="shared" ca="1" si="2"/>
        <v>19.742216474561864</v>
      </c>
    </row>
    <row r="143" spans="1:1" x14ac:dyDescent="0.25">
      <c r="A143">
        <f t="shared" ca="1" si="2"/>
        <v>20.184805936765631</v>
      </c>
    </row>
    <row r="144" spans="1:1" x14ac:dyDescent="0.25">
      <c r="A144">
        <f t="shared" ca="1" si="2"/>
        <v>23.031721981718349</v>
      </c>
    </row>
    <row r="145" spans="1:1" x14ac:dyDescent="0.25">
      <c r="A145">
        <f t="shared" ca="1" si="2"/>
        <v>22.398068453211778</v>
      </c>
    </row>
    <row r="146" spans="1:1" x14ac:dyDescent="0.25">
      <c r="A146">
        <f t="shared" ca="1" si="2"/>
        <v>22.710029360688541</v>
      </c>
    </row>
    <row r="147" spans="1:1" x14ac:dyDescent="0.25">
      <c r="A147">
        <f t="shared" ca="1" si="2"/>
        <v>23.454942761449164</v>
      </c>
    </row>
    <row r="148" spans="1:1" x14ac:dyDescent="0.25">
      <c r="A148">
        <f t="shared" ca="1" si="2"/>
        <v>22.773488330782271</v>
      </c>
    </row>
    <row r="149" spans="1:1" x14ac:dyDescent="0.25">
      <c r="A149">
        <f t="shared" ca="1" si="2"/>
        <v>24.191828528320688</v>
      </c>
    </row>
    <row r="150" spans="1:1" x14ac:dyDescent="0.25">
      <c r="A150">
        <f t="shared" ca="1" si="2"/>
        <v>21.659596477786479</v>
      </c>
    </row>
    <row r="151" spans="1:1" x14ac:dyDescent="0.25">
      <c r="A151">
        <f t="shared" ca="1" si="2"/>
        <v>19.123350421572074</v>
      </c>
    </row>
    <row r="152" spans="1:1" x14ac:dyDescent="0.25">
      <c r="A152">
        <f t="shared" ca="1" si="2"/>
        <v>22.261785422889528</v>
      </c>
    </row>
    <row r="153" spans="1:1" x14ac:dyDescent="0.25">
      <c r="A153">
        <f t="shared" ca="1" si="2"/>
        <v>20.246816676304977</v>
      </c>
    </row>
    <row r="154" spans="1:1" x14ac:dyDescent="0.25">
      <c r="A154">
        <f t="shared" ca="1" si="2"/>
        <v>22.435102838353444</v>
      </c>
    </row>
    <row r="155" spans="1:1" x14ac:dyDescent="0.25">
      <c r="A155">
        <f t="shared" ca="1" si="2"/>
        <v>21.180028987936964</v>
      </c>
    </row>
    <row r="156" spans="1:1" x14ac:dyDescent="0.25">
      <c r="A156">
        <f t="shared" ca="1" si="2"/>
        <v>22.750329745655211</v>
      </c>
    </row>
    <row r="157" spans="1:1" x14ac:dyDescent="0.25">
      <c r="A157">
        <f t="shared" ca="1" si="2"/>
        <v>22.281009550230035</v>
      </c>
    </row>
    <row r="158" spans="1:1" x14ac:dyDescent="0.25">
      <c r="A158">
        <f t="shared" ca="1" si="2"/>
        <v>22.267728303005352</v>
      </c>
    </row>
    <row r="159" spans="1:1" x14ac:dyDescent="0.25">
      <c r="A159">
        <f t="shared" ca="1" si="2"/>
        <v>21.724320247770869</v>
      </c>
    </row>
    <row r="160" spans="1:1" x14ac:dyDescent="0.25">
      <c r="A160">
        <f t="shared" ca="1" si="2"/>
        <v>23.213549694268846</v>
      </c>
    </row>
    <row r="161" spans="1:1" x14ac:dyDescent="0.25">
      <c r="A161">
        <f t="shared" ca="1" si="2"/>
        <v>20.145040683155948</v>
      </c>
    </row>
    <row r="162" spans="1:1" x14ac:dyDescent="0.25">
      <c r="A162">
        <f t="shared" ca="1" si="2"/>
        <v>20.997733483270238</v>
      </c>
    </row>
    <row r="163" spans="1:1" x14ac:dyDescent="0.25">
      <c r="A163">
        <f t="shared" ca="1" si="2"/>
        <v>22.664747970955652</v>
      </c>
    </row>
    <row r="164" spans="1:1" x14ac:dyDescent="0.25">
      <c r="A164">
        <f t="shared" ca="1" si="2"/>
        <v>22.81097604554768</v>
      </c>
    </row>
    <row r="165" spans="1:1" x14ac:dyDescent="0.25">
      <c r="A165">
        <f t="shared" ca="1" si="2"/>
        <v>19.532715033494071</v>
      </c>
    </row>
    <row r="166" spans="1:1" x14ac:dyDescent="0.25">
      <c r="A166">
        <f t="shared" ca="1" si="2"/>
        <v>22.508050828807214</v>
      </c>
    </row>
    <row r="167" spans="1:1" x14ac:dyDescent="0.25">
      <c r="A167">
        <f t="shared" ca="1" si="2"/>
        <v>21.680092721551585</v>
      </c>
    </row>
    <row r="168" spans="1:1" x14ac:dyDescent="0.25">
      <c r="A168">
        <f t="shared" ca="1" si="2"/>
        <v>24.373606320998668</v>
      </c>
    </row>
    <row r="169" spans="1:1" x14ac:dyDescent="0.25">
      <c r="A169">
        <f t="shared" ca="1" si="2"/>
        <v>22.237998622716116</v>
      </c>
    </row>
    <row r="170" spans="1:1" x14ac:dyDescent="0.25">
      <c r="A170">
        <f t="shared" ca="1" si="2"/>
        <v>21.290565625320909</v>
      </c>
    </row>
    <row r="171" spans="1:1" x14ac:dyDescent="0.25">
      <c r="A171">
        <f t="shared" ca="1" si="2"/>
        <v>22.744784009670752</v>
      </c>
    </row>
    <row r="172" spans="1:1" x14ac:dyDescent="0.25">
      <c r="A172">
        <f t="shared" ca="1" si="2"/>
        <v>23.307816308964235</v>
      </c>
    </row>
    <row r="173" spans="1:1" x14ac:dyDescent="0.25">
      <c r="A173">
        <f t="shared" ca="1" si="2"/>
        <v>22.538850982896285</v>
      </c>
    </row>
    <row r="174" spans="1:1" x14ac:dyDescent="0.25">
      <c r="A174">
        <f t="shared" ca="1" si="2"/>
        <v>21.512904003234095</v>
      </c>
    </row>
    <row r="175" spans="1:1" x14ac:dyDescent="0.25">
      <c r="A175">
        <f t="shared" ca="1" si="2"/>
        <v>20.930350755998212</v>
      </c>
    </row>
    <row r="176" spans="1:1" x14ac:dyDescent="0.25">
      <c r="A176">
        <f t="shared" ca="1" si="2"/>
        <v>23.280823116957286</v>
      </c>
    </row>
    <row r="177" spans="1:1" x14ac:dyDescent="0.25">
      <c r="A177">
        <f t="shared" ca="1" si="2"/>
        <v>23.254921387137273</v>
      </c>
    </row>
    <row r="178" spans="1:1" x14ac:dyDescent="0.25">
      <c r="A178">
        <f t="shared" ca="1" si="2"/>
        <v>22.683238348542904</v>
      </c>
    </row>
    <row r="179" spans="1:1" x14ac:dyDescent="0.25">
      <c r="A179">
        <f t="shared" ca="1" si="2"/>
        <v>19.710503064221481</v>
      </c>
    </row>
    <row r="180" spans="1:1" x14ac:dyDescent="0.25">
      <c r="A180">
        <f t="shared" ca="1" si="2"/>
        <v>21.877912613358056</v>
      </c>
    </row>
    <row r="181" spans="1:1" x14ac:dyDescent="0.25">
      <c r="A181">
        <f t="shared" ca="1" si="2"/>
        <v>22.551098370727559</v>
      </c>
    </row>
    <row r="182" spans="1:1" x14ac:dyDescent="0.25">
      <c r="A182">
        <f t="shared" ca="1" si="2"/>
        <v>24.521084525442248</v>
      </c>
    </row>
    <row r="183" spans="1:1" x14ac:dyDescent="0.25">
      <c r="A183">
        <f t="shared" ca="1" si="2"/>
        <v>22.591666149988072</v>
      </c>
    </row>
    <row r="184" spans="1:1" x14ac:dyDescent="0.25">
      <c r="A184">
        <f t="shared" ca="1" si="2"/>
        <v>20.331223958788271</v>
      </c>
    </row>
    <row r="185" spans="1:1" x14ac:dyDescent="0.25">
      <c r="A185">
        <f t="shared" ca="1" si="2"/>
        <v>20.700239629441107</v>
      </c>
    </row>
    <row r="186" spans="1:1" x14ac:dyDescent="0.25">
      <c r="A186">
        <f t="shared" ca="1" si="2"/>
        <v>22.874240206643083</v>
      </c>
    </row>
    <row r="187" spans="1:1" x14ac:dyDescent="0.25">
      <c r="A187">
        <f t="shared" ca="1" si="2"/>
        <v>21.959579397628364</v>
      </c>
    </row>
    <row r="188" spans="1:1" x14ac:dyDescent="0.25">
      <c r="A188">
        <f t="shared" ca="1" si="2"/>
        <v>21.738501563994166</v>
      </c>
    </row>
    <row r="189" spans="1:1" x14ac:dyDescent="0.25">
      <c r="A189">
        <f t="shared" ca="1" si="2"/>
        <v>22.211333314388874</v>
      </c>
    </row>
    <row r="190" spans="1:1" x14ac:dyDescent="0.25">
      <c r="A190">
        <f t="shared" ca="1" si="2"/>
        <v>21.881043684519437</v>
      </c>
    </row>
    <row r="191" spans="1:1" x14ac:dyDescent="0.25">
      <c r="A191">
        <f t="shared" ca="1" si="2"/>
        <v>22.243510200964803</v>
      </c>
    </row>
    <row r="192" spans="1:1" x14ac:dyDescent="0.25">
      <c r="A192">
        <f t="shared" ca="1" si="2"/>
        <v>21.072580045174902</v>
      </c>
    </row>
    <row r="193" spans="1:1" x14ac:dyDescent="0.25">
      <c r="A193">
        <f t="shared" ca="1" si="2"/>
        <v>21.405254160833373</v>
      </c>
    </row>
    <row r="194" spans="1:1" x14ac:dyDescent="0.25">
      <c r="A194">
        <f t="shared" ref="A194:A200" ca="1" si="3">NORMINV(RAND(), 22, 1.25)</f>
        <v>20.893768045862778</v>
      </c>
    </row>
    <row r="195" spans="1:1" x14ac:dyDescent="0.25">
      <c r="A195">
        <f t="shared" ca="1" si="3"/>
        <v>21.800126676690237</v>
      </c>
    </row>
    <row r="196" spans="1:1" x14ac:dyDescent="0.25">
      <c r="A196">
        <f t="shared" ca="1" si="3"/>
        <v>21.945074021071072</v>
      </c>
    </row>
    <row r="197" spans="1:1" x14ac:dyDescent="0.25">
      <c r="A197">
        <f t="shared" ca="1" si="3"/>
        <v>22.865753908589767</v>
      </c>
    </row>
    <row r="198" spans="1:1" x14ac:dyDescent="0.25">
      <c r="A198">
        <f t="shared" ca="1" si="3"/>
        <v>21.980257452319051</v>
      </c>
    </row>
    <row r="199" spans="1:1" x14ac:dyDescent="0.25">
      <c r="A199">
        <f t="shared" ca="1" si="3"/>
        <v>20.682204557768241</v>
      </c>
    </row>
    <row r="200" spans="1:1" x14ac:dyDescent="0.25">
      <c r="A200">
        <f t="shared" ca="1" si="3"/>
        <v>23.247472289149414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Задание1</vt:lpstr>
      <vt:lpstr>Задание2</vt:lpstr>
      <vt:lpstr>Задание4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котов_кв</dc:creator>
  <cp:lastModifiedBy>CodeMaker</cp:lastModifiedBy>
  <dcterms:created xsi:type="dcterms:W3CDTF">2021-06-21T11:34:37Z</dcterms:created>
  <dcterms:modified xsi:type="dcterms:W3CDTF">2021-06-22T22:40:33Z</dcterms:modified>
</cp:coreProperties>
</file>